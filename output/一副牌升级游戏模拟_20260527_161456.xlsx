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总览" sheetId="1" state="visible" r:id="rId1"/>
    <sheet name="每局详情" sheetId="2" state="visible" r:id="rId2"/>
    <sheet name="出牌记录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  <color rgb="00FFFFFF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一副牌升级游戏模拟（过7）</t>
        </is>
      </c>
    </row>
    <row r="2">
      <c r="A2" s="2" t="inlineStr">
        <is>
          <t>生成: 2026-05-27 16:14 | 共50局 | 胜方: 未完成</t>
        </is>
      </c>
    </row>
    <row r="4">
      <c r="A4" s="3" t="inlineStr">
        <is>
          <t>局数</t>
        </is>
      </c>
      <c r="B4" s="3" t="inlineStr">
        <is>
          <t>庄家</t>
        </is>
      </c>
      <c r="C4" s="3" t="inlineStr">
        <is>
          <t>庄方级(前)</t>
        </is>
      </c>
      <c r="D4" s="3" t="inlineStr">
        <is>
          <t>抓方级(前)</t>
        </is>
      </c>
      <c r="E4" s="3" t="inlineStr">
        <is>
          <t>本局级</t>
        </is>
      </c>
      <c r="F4" s="3" t="inlineStr">
        <is>
          <t>定主方式</t>
        </is>
      </c>
      <c r="G4" s="3" t="inlineStr">
        <is>
          <t>亮牌/闷牌</t>
        </is>
      </c>
      <c r="H4" s="3" t="inlineStr">
        <is>
          <t>主花色</t>
        </is>
      </c>
      <c r="I4" s="3" t="inlineStr">
        <is>
          <t>抓分</t>
        </is>
      </c>
      <c r="J4" s="3" t="inlineStr">
        <is>
          <t>扣底</t>
        </is>
      </c>
      <c r="K4" s="3" t="inlineStr">
        <is>
          <t>扣底牌</t>
        </is>
      </c>
      <c r="L4" s="3" t="inlineStr">
        <is>
          <t>抓方升级</t>
        </is>
      </c>
      <c r="M4" s="3" t="inlineStr">
        <is>
          <t>庄方升级</t>
        </is>
      </c>
      <c r="N4" s="3" t="inlineStr">
        <is>
          <t>庄方级(后)</t>
        </is>
      </c>
      <c r="O4" s="3" t="inlineStr">
        <is>
          <t>抓方级(后)</t>
        </is>
      </c>
      <c r="P4" s="3" t="inlineStr">
        <is>
          <t>结果</t>
        </is>
      </c>
    </row>
    <row r="5">
      <c r="A5" s="4" t="n">
        <v>1</v>
      </c>
      <c r="B5" s="4" t="inlineStr">
        <is>
          <t>玩1</t>
        </is>
      </c>
      <c r="C5" s="4" t="n">
        <v>7</v>
      </c>
      <c r="D5" s="4" t="n">
        <v>7</v>
      </c>
      <c r="E5" s="4" t="n">
        <v>7</v>
      </c>
      <c r="F5" s="4" t="inlineStr">
        <is>
          <t>底牌首张</t>
        </is>
      </c>
      <c r="G5" s="4" t="inlineStr">
        <is>
          <t>底牌首张定主</t>
        </is>
      </c>
      <c r="H5" s="4" t="inlineStr">
        <is>
          <t>黑桃</t>
        </is>
      </c>
      <c r="I5" s="4" t="n">
        <v>95</v>
      </c>
      <c r="J5" s="4" t="inlineStr">
        <is>
          <t>否</t>
        </is>
      </c>
      <c r="K5" s="4" t="inlineStr">
        <is>
          <t>♥K</t>
        </is>
      </c>
      <c r="L5" s="4" t="inlineStr">
        <is>
          <t>+6</t>
        </is>
      </c>
      <c r="M5" s="4" t="n">
        <v>0</v>
      </c>
      <c r="N5" s="4" t="n">
        <v>7</v>
      </c>
      <c r="O5" s="4" t="n">
        <v>13</v>
      </c>
      <c r="P5" s="4" t="inlineStr">
        <is>
          <t>上台过7（需守庄）</t>
        </is>
      </c>
    </row>
    <row r="6">
      <c r="A6" s="4" t="n">
        <v>2</v>
      </c>
      <c r="B6" s="4" t="inlineStr">
        <is>
          <t>玩2</t>
        </is>
      </c>
      <c r="C6" s="4" t="n">
        <v>7</v>
      </c>
      <c r="D6" s="4" t="n">
        <v>13</v>
      </c>
      <c r="E6" s="4" t="n">
        <v>7</v>
      </c>
      <c r="F6" s="4" t="inlineStr">
        <is>
          <t>底牌首张</t>
        </is>
      </c>
      <c r="G6" s="4" t="inlineStr">
        <is>
          <t>底牌首张定主</t>
        </is>
      </c>
      <c r="H6" s="4" t="inlineStr">
        <is>
          <t>黑桃</t>
        </is>
      </c>
      <c r="I6" s="4" t="n">
        <v>100</v>
      </c>
      <c r="J6" s="4" t="inlineStr">
        <is>
          <t>是</t>
        </is>
      </c>
      <c r="K6" s="4" t="inlineStr">
        <is>
          <t>♥Q</t>
        </is>
      </c>
      <c r="L6" s="4" t="inlineStr">
        <is>
          <t>+9</t>
        </is>
      </c>
      <c r="M6" s="4" t="n">
        <v>0</v>
      </c>
      <c r="N6" s="4" t="n">
        <v>7</v>
      </c>
      <c r="O6" s="4" t="n">
        <v>22</v>
      </c>
      <c r="P6" s="4" t="inlineStr">
        <is>
          <t>上台过7（需守庄）</t>
        </is>
      </c>
    </row>
    <row r="7">
      <c r="A7" s="4" t="n">
        <v>3</v>
      </c>
      <c r="B7" s="4" t="inlineStr">
        <is>
          <t>玩3</t>
        </is>
      </c>
      <c r="C7" s="4" t="n">
        <v>7</v>
      </c>
      <c r="D7" s="4" t="n">
        <v>22</v>
      </c>
      <c r="E7" s="4" t="n">
        <v>7</v>
      </c>
      <c r="F7" s="4" t="inlineStr">
        <is>
          <t>底牌首张</t>
        </is>
      </c>
      <c r="G7" s="4" t="inlineStr">
        <is>
          <t>底牌首张定主</t>
        </is>
      </c>
      <c r="H7" s="4" t="inlineStr">
        <is>
          <t>黑桃</t>
        </is>
      </c>
      <c r="I7" s="4" t="n">
        <v>100</v>
      </c>
      <c r="J7" s="4" t="inlineStr">
        <is>
          <t>否</t>
        </is>
      </c>
      <c r="K7" s="4" t="inlineStr">
        <is>
          <t>♣K</t>
        </is>
      </c>
      <c r="L7" s="4" t="inlineStr">
        <is>
          <t>+6</t>
        </is>
      </c>
      <c r="M7" s="4" t="n">
        <v>0</v>
      </c>
      <c r="N7" s="4" t="n">
        <v>7</v>
      </c>
      <c r="O7" s="4" t="n">
        <v>28</v>
      </c>
      <c r="P7" s="4" t="inlineStr">
        <is>
          <t>上台过7（需守庄）</t>
        </is>
      </c>
    </row>
    <row r="8">
      <c r="A8" s="4" t="n">
        <v>4</v>
      </c>
      <c r="B8" s="4" t="inlineStr">
        <is>
          <t>玩4</t>
        </is>
      </c>
      <c r="C8" s="4" t="n">
        <v>7</v>
      </c>
      <c r="D8" s="4" t="n">
        <v>28</v>
      </c>
      <c r="E8" s="4" t="n">
        <v>7</v>
      </c>
      <c r="F8" s="4" t="inlineStr">
        <is>
          <t>底牌首张</t>
        </is>
      </c>
      <c r="G8" s="4" t="inlineStr">
        <is>
          <t>底牌首张定主</t>
        </is>
      </c>
      <c r="H8" s="4" t="inlineStr">
        <is>
          <t>草花</t>
        </is>
      </c>
      <c r="I8" s="4" t="n">
        <v>100</v>
      </c>
      <c r="J8" s="4" t="inlineStr">
        <is>
          <t>是</t>
        </is>
      </c>
      <c r="K8" s="4" t="inlineStr">
        <is>
          <t>♣2</t>
        </is>
      </c>
      <c r="L8" s="4" t="inlineStr">
        <is>
          <t>+9</t>
        </is>
      </c>
      <c r="M8" s="4" t="n">
        <v>0</v>
      </c>
      <c r="N8" s="4" t="n">
        <v>7</v>
      </c>
      <c r="O8" s="4" t="n">
        <v>37</v>
      </c>
      <c r="P8" s="4" t="inlineStr">
        <is>
          <t>上台过7（需守庄）</t>
        </is>
      </c>
    </row>
    <row r="9">
      <c r="A9" s="4" t="n">
        <v>5</v>
      </c>
      <c r="B9" s="4" t="inlineStr">
        <is>
          <t>玩1</t>
        </is>
      </c>
      <c r="C9" s="4" t="n">
        <v>7</v>
      </c>
      <c r="D9" s="4" t="n">
        <v>37</v>
      </c>
      <c r="E9" s="4" t="n">
        <v>7</v>
      </c>
      <c r="F9" s="4" t="inlineStr">
        <is>
          <t>底牌首张</t>
        </is>
      </c>
      <c r="G9" s="4" t="inlineStr">
        <is>
          <t>底牌首张定主</t>
        </is>
      </c>
      <c r="H9" s="4" t="inlineStr">
        <is>
          <t>方块</t>
        </is>
      </c>
      <c r="I9" s="4" t="n">
        <v>100</v>
      </c>
      <c r="J9" s="4" t="inlineStr">
        <is>
          <t>否</t>
        </is>
      </c>
      <c r="K9" s="4" t="inlineStr">
        <is>
          <t>♥K</t>
        </is>
      </c>
      <c r="L9" s="4" t="inlineStr">
        <is>
          <t>+6</t>
        </is>
      </c>
      <c r="M9" s="4" t="n">
        <v>0</v>
      </c>
      <c r="N9" s="4" t="n">
        <v>7</v>
      </c>
      <c r="O9" s="4" t="n">
        <v>43</v>
      </c>
      <c r="P9" s="4" t="inlineStr">
        <is>
          <t>上台过7（需守庄）</t>
        </is>
      </c>
    </row>
    <row r="10">
      <c r="A10" s="4" t="n">
        <v>6</v>
      </c>
      <c r="B10" s="4" t="inlineStr">
        <is>
          <t>玩2</t>
        </is>
      </c>
      <c r="C10" s="4" t="n">
        <v>7</v>
      </c>
      <c r="D10" s="4" t="n">
        <v>43</v>
      </c>
      <c r="E10" s="4" t="n">
        <v>7</v>
      </c>
      <c r="F10" s="4" t="inlineStr">
        <is>
          <t>底牌首张</t>
        </is>
      </c>
      <c r="G10" s="4" t="inlineStr">
        <is>
          <t>底牌首张定主</t>
        </is>
      </c>
      <c r="H10" s="4" t="inlineStr">
        <is>
          <t>方块</t>
        </is>
      </c>
      <c r="I10" s="4" t="n">
        <v>100</v>
      </c>
      <c r="J10" s="4" t="inlineStr">
        <is>
          <t>否</t>
        </is>
      </c>
      <c r="K10" s="4" t="inlineStr">
        <is>
          <t>♦2</t>
        </is>
      </c>
      <c r="L10" s="4" t="inlineStr">
        <is>
          <t>+6</t>
        </is>
      </c>
      <c r="M10" s="4" t="n">
        <v>0</v>
      </c>
      <c r="N10" s="4" t="n">
        <v>7</v>
      </c>
      <c r="O10" s="4" t="n">
        <v>49</v>
      </c>
      <c r="P10" s="4" t="inlineStr">
        <is>
          <t>上台过7（需守庄）</t>
        </is>
      </c>
    </row>
    <row r="11">
      <c r="A11" s="4" t="n">
        <v>7</v>
      </c>
      <c r="B11" s="4" t="inlineStr">
        <is>
          <t>玩3</t>
        </is>
      </c>
      <c r="C11" s="4" t="n">
        <v>7</v>
      </c>
      <c r="D11" s="4" t="n">
        <v>49</v>
      </c>
      <c r="E11" s="4" t="n">
        <v>7</v>
      </c>
      <c r="F11" s="4" t="inlineStr">
        <is>
          <t>底牌首张</t>
        </is>
      </c>
      <c r="G11" s="4" t="inlineStr">
        <is>
          <t>底牌首张定主</t>
        </is>
      </c>
      <c r="H11" s="4" t="inlineStr">
        <is>
          <t>黑桃</t>
        </is>
      </c>
      <c r="I11" s="4" t="n">
        <v>90</v>
      </c>
      <c r="J11" s="4" t="inlineStr">
        <is>
          <t>否</t>
        </is>
      </c>
      <c r="K11" s="4" t="inlineStr">
        <is>
          <t>♠K</t>
        </is>
      </c>
      <c r="L11" s="4" t="inlineStr">
        <is>
          <t>+6</t>
        </is>
      </c>
      <c r="M11" s="4" t="n">
        <v>0</v>
      </c>
      <c r="N11" s="4" t="n">
        <v>7</v>
      </c>
      <c r="O11" s="4" t="n">
        <v>55</v>
      </c>
      <c r="P11" s="4" t="inlineStr">
        <is>
          <t>上台过7（需守庄）</t>
        </is>
      </c>
    </row>
    <row r="12">
      <c r="A12" s="4" t="n">
        <v>8</v>
      </c>
      <c r="B12" s="4" t="inlineStr">
        <is>
          <t>玩4</t>
        </is>
      </c>
      <c r="C12" s="4" t="n">
        <v>7</v>
      </c>
      <c r="D12" s="4" t="n">
        <v>55</v>
      </c>
      <c r="E12" s="4" t="n">
        <v>7</v>
      </c>
      <c r="F12" s="4" t="inlineStr">
        <is>
          <t>底牌首张</t>
        </is>
      </c>
      <c r="G12" s="4" t="inlineStr">
        <is>
          <t>底牌首张定主</t>
        </is>
      </c>
      <c r="H12" s="4" t="inlineStr">
        <is>
          <t>红桃</t>
        </is>
      </c>
      <c r="I12" s="4" t="n">
        <v>100</v>
      </c>
      <c r="J12" s="4" t="inlineStr">
        <is>
          <t>是</t>
        </is>
      </c>
      <c r="K12" s="4" t="inlineStr">
        <is>
          <t>♠K</t>
        </is>
      </c>
      <c r="L12" s="4" t="inlineStr">
        <is>
          <t>+9</t>
        </is>
      </c>
      <c r="M12" s="4" t="n">
        <v>0</v>
      </c>
      <c r="N12" s="4" t="n">
        <v>7</v>
      </c>
      <c r="O12" s="4" t="n">
        <v>64</v>
      </c>
      <c r="P12" s="4" t="inlineStr">
        <is>
          <t>上台过7（需守庄）</t>
        </is>
      </c>
    </row>
    <row r="13">
      <c r="A13" s="4" t="n">
        <v>9</v>
      </c>
      <c r="B13" s="4" t="inlineStr">
        <is>
          <t>玩1</t>
        </is>
      </c>
      <c r="C13" s="4" t="n">
        <v>7</v>
      </c>
      <c r="D13" s="4" t="n">
        <v>64</v>
      </c>
      <c r="E13" s="4" t="n">
        <v>7</v>
      </c>
      <c r="F13" s="4" t="inlineStr">
        <is>
          <t>底牌首张</t>
        </is>
      </c>
      <c r="G13" s="4" t="inlineStr">
        <is>
          <t>底牌首张定主</t>
        </is>
      </c>
      <c r="H13" s="4" t="inlineStr">
        <is>
          <t>黑桃</t>
        </is>
      </c>
      <c r="I13" s="4" t="n">
        <v>100</v>
      </c>
      <c r="J13" s="4" t="inlineStr">
        <is>
          <t>是</t>
        </is>
      </c>
      <c r="K13" s="4" t="inlineStr">
        <is>
          <t>小王</t>
        </is>
      </c>
      <c r="L13" s="4" t="inlineStr">
        <is>
          <t>+9</t>
        </is>
      </c>
      <c r="M13" s="4" t="n">
        <v>0</v>
      </c>
      <c r="N13" s="4" t="n">
        <v>7</v>
      </c>
      <c r="O13" s="4" t="n">
        <v>73</v>
      </c>
      <c r="P13" s="4" t="inlineStr">
        <is>
          <t>上台过7（需守庄）</t>
        </is>
      </c>
    </row>
    <row r="14">
      <c r="A14" s="4" t="n">
        <v>10</v>
      </c>
      <c r="B14" s="4" t="inlineStr">
        <is>
          <t>玩2</t>
        </is>
      </c>
      <c r="C14" s="4" t="n">
        <v>7</v>
      </c>
      <c r="D14" s="4" t="n">
        <v>73</v>
      </c>
      <c r="E14" s="4" t="n">
        <v>7</v>
      </c>
      <c r="F14" s="4" t="inlineStr">
        <is>
          <t>底牌首张</t>
        </is>
      </c>
      <c r="G14" s="4" t="inlineStr">
        <is>
          <t>底牌首张定主</t>
        </is>
      </c>
      <c r="H14" s="4" t="inlineStr">
        <is>
          <t>草花</t>
        </is>
      </c>
      <c r="I14" s="4" t="n">
        <v>100</v>
      </c>
      <c r="J14" s="4" t="inlineStr">
        <is>
          <t>否</t>
        </is>
      </c>
      <c r="K14" s="4" t="inlineStr">
        <is>
          <t>♦K</t>
        </is>
      </c>
      <c r="L14" s="4" t="inlineStr">
        <is>
          <t>+6</t>
        </is>
      </c>
      <c r="M14" s="4" t="n">
        <v>0</v>
      </c>
      <c r="N14" s="4" t="n">
        <v>7</v>
      </c>
      <c r="O14" s="4" t="n">
        <v>79</v>
      </c>
      <c r="P14" s="4" t="inlineStr">
        <is>
          <t>上台过7（需守庄）</t>
        </is>
      </c>
    </row>
    <row r="15">
      <c r="A15" s="4" t="n">
        <v>11</v>
      </c>
      <c r="B15" s="4" t="inlineStr">
        <is>
          <t>玩3</t>
        </is>
      </c>
      <c r="C15" s="4" t="n">
        <v>7</v>
      </c>
      <c r="D15" s="4" t="n">
        <v>79</v>
      </c>
      <c r="E15" s="4" t="n">
        <v>7</v>
      </c>
      <c r="F15" s="4" t="inlineStr">
        <is>
          <t>底牌首张</t>
        </is>
      </c>
      <c r="G15" s="4" t="inlineStr">
        <is>
          <t>底牌首张定主</t>
        </is>
      </c>
      <c r="H15" s="4" t="inlineStr">
        <is>
          <t>草花</t>
        </is>
      </c>
      <c r="I15" s="4" t="n">
        <v>100</v>
      </c>
      <c r="J15" s="4" t="inlineStr">
        <is>
          <t>是</t>
        </is>
      </c>
      <c r="K15" s="4" t="inlineStr">
        <is>
          <t>大王</t>
        </is>
      </c>
      <c r="L15" s="4" t="inlineStr">
        <is>
          <t>+10</t>
        </is>
      </c>
      <c r="M15" s="4" t="n">
        <v>0</v>
      </c>
      <c r="N15" s="4" t="n">
        <v>7</v>
      </c>
      <c r="O15" s="4" t="n">
        <v>89</v>
      </c>
      <c r="P15" s="4" t="inlineStr">
        <is>
          <t>上台过7（需守庄）</t>
        </is>
      </c>
    </row>
    <row r="16">
      <c r="A16" s="4" t="n">
        <v>12</v>
      </c>
      <c r="B16" s="4" t="inlineStr">
        <is>
          <t>玩4</t>
        </is>
      </c>
      <c r="C16" s="4" t="n">
        <v>7</v>
      </c>
      <c r="D16" s="4" t="n">
        <v>89</v>
      </c>
      <c r="E16" s="4" t="n">
        <v>7</v>
      </c>
      <c r="F16" s="4" t="inlineStr">
        <is>
          <t>底牌首张</t>
        </is>
      </c>
      <c r="G16" s="4" t="inlineStr">
        <is>
          <t>底牌首张定主</t>
        </is>
      </c>
      <c r="H16" s="4" t="inlineStr">
        <is>
          <t>黑桃</t>
        </is>
      </c>
      <c r="I16" s="4" t="n">
        <v>100</v>
      </c>
      <c r="J16" s="4" t="inlineStr">
        <is>
          <t>是</t>
        </is>
      </c>
      <c r="K16" s="4" t="inlineStr">
        <is>
          <t>小王</t>
        </is>
      </c>
      <c r="L16" s="4" t="inlineStr">
        <is>
          <t>+9</t>
        </is>
      </c>
      <c r="M16" s="4" t="n">
        <v>0</v>
      </c>
      <c r="N16" s="4" t="n">
        <v>7</v>
      </c>
      <c r="O16" s="4" t="n">
        <v>98</v>
      </c>
      <c r="P16" s="4" t="inlineStr">
        <is>
          <t>上台过7（需守庄）</t>
        </is>
      </c>
    </row>
    <row r="17">
      <c r="A17" s="4" t="n">
        <v>13</v>
      </c>
      <c r="B17" s="4" t="inlineStr">
        <is>
          <t>玩1</t>
        </is>
      </c>
      <c r="C17" s="4" t="n">
        <v>7</v>
      </c>
      <c r="D17" s="4" t="n">
        <v>98</v>
      </c>
      <c r="E17" s="4" t="n">
        <v>7</v>
      </c>
      <c r="F17" s="4" t="inlineStr">
        <is>
          <t>底牌首张</t>
        </is>
      </c>
      <c r="G17" s="4" t="inlineStr">
        <is>
          <t>底牌首张定主</t>
        </is>
      </c>
      <c r="H17" s="4" t="inlineStr">
        <is>
          <t>草花</t>
        </is>
      </c>
      <c r="I17" s="4" t="n">
        <v>95</v>
      </c>
      <c r="J17" s="4" t="inlineStr">
        <is>
          <t>否</t>
        </is>
      </c>
      <c r="K17" s="4" t="inlineStr">
        <is>
          <t>♠A</t>
        </is>
      </c>
      <c r="L17" s="4" t="inlineStr">
        <is>
          <t>+6</t>
        </is>
      </c>
      <c r="M17" s="4" t="n">
        <v>0</v>
      </c>
      <c r="N17" s="4" t="n">
        <v>7</v>
      </c>
      <c r="O17" s="4" t="n">
        <v>104</v>
      </c>
      <c r="P17" s="4" t="inlineStr">
        <is>
          <t>上台过7（需守庄）</t>
        </is>
      </c>
    </row>
    <row r="18">
      <c r="A18" s="4" t="n">
        <v>14</v>
      </c>
      <c r="B18" s="4" t="inlineStr">
        <is>
          <t>玩2</t>
        </is>
      </c>
      <c r="C18" s="4" t="n">
        <v>7</v>
      </c>
      <c r="D18" s="4" t="n">
        <v>104</v>
      </c>
      <c r="E18" s="4" t="n">
        <v>7</v>
      </c>
      <c r="F18" s="4" t="inlineStr">
        <is>
          <t>底牌首张</t>
        </is>
      </c>
      <c r="G18" s="4" t="inlineStr">
        <is>
          <t>底牌首张定主</t>
        </is>
      </c>
      <c r="H18" s="4" t="inlineStr">
        <is>
          <t>红桃</t>
        </is>
      </c>
      <c r="I18" s="4" t="n">
        <v>90</v>
      </c>
      <c r="J18" s="4" t="inlineStr">
        <is>
          <t>否</t>
        </is>
      </c>
      <c r="K18" s="4" t="inlineStr">
        <is>
          <t>♥K</t>
        </is>
      </c>
      <c r="L18" s="4" t="inlineStr">
        <is>
          <t>+6</t>
        </is>
      </c>
      <c r="M18" s="4" t="n">
        <v>0</v>
      </c>
      <c r="N18" s="4" t="n">
        <v>7</v>
      </c>
      <c r="O18" s="4" t="n">
        <v>110</v>
      </c>
      <c r="P18" s="4" t="inlineStr">
        <is>
          <t>上台过7（需守庄）</t>
        </is>
      </c>
    </row>
    <row r="19">
      <c r="A19" s="4" t="n">
        <v>15</v>
      </c>
      <c r="B19" s="4" t="inlineStr">
        <is>
          <t>玩3</t>
        </is>
      </c>
      <c r="C19" s="4" t="n">
        <v>7</v>
      </c>
      <c r="D19" s="4" t="n">
        <v>110</v>
      </c>
      <c r="E19" s="4" t="n">
        <v>7</v>
      </c>
      <c r="F19" s="4" t="inlineStr">
        <is>
          <t>底牌首张</t>
        </is>
      </c>
      <c r="G19" s="4" t="inlineStr">
        <is>
          <t>底牌首张定主</t>
        </is>
      </c>
      <c r="H19" s="4" t="inlineStr">
        <is>
          <t>草花</t>
        </is>
      </c>
      <c r="I19" s="4" t="n">
        <v>100</v>
      </c>
      <c r="J19" s="4" t="inlineStr">
        <is>
          <t>否</t>
        </is>
      </c>
      <c r="K19" s="4" t="inlineStr">
        <is>
          <t>大王</t>
        </is>
      </c>
      <c r="L19" s="4" t="inlineStr">
        <is>
          <t>+6</t>
        </is>
      </c>
      <c r="M19" s="4" t="n">
        <v>0</v>
      </c>
      <c r="N19" s="4" t="n">
        <v>7</v>
      </c>
      <c r="O19" s="4" t="n">
        <v>116</v>
      </c>
      <c r="P19" s="4" t="inlineStr">
        <is>
          <t>上台过7（需守庄）</t>
        </is>
      </c>
    </row>
    <row r="20">
      <c r="A20" s="4" t="n">
        <v>16</v>
      </c>
      <c r="B20" s="4" t="inlineStr">
        <is>
          <t>玩4</t>
        </is>
      </c>
      <c r="C20" s="4" t="n">
        <v>7</v>
      </c>
      <c r="D20" s="4" t="n">
        <v>116</v>
      </c>
      <c r="E20" s="4" t="n">
        <v>7</v>
      </c>
      <c r="F20" s="4" t="inlineStr">
        <is>
          <t>底牌首张</t>
        </is>
      </c>
      <c r="G20" s="4" t="inlineStr">
        <is>
          <t>底牌首张定主</t>
        </is>
      </c>
      <c r="H20" s="4" t="inlineStr">
        <is>
          <t>红桃</t>
        </is>
      </c>
      <c r="I20" s="4" t="n">
        <v>100</v>
      </c>
      <c r="J20" s="4" t="inlineStr">
        <is>
          <t>否</t>
        </is>
      </c>
      <c r="K20" s="4" t="inlineStr">
        <is>
          <t>♥A</t>
        </is>
      </c>
      <c r="L20" s="4" t="inlineStr">
        <is>
          <t>+6</t>
        </is>
      </c>
      <c r="M20" s="4" t="n">
        <v>0</v>
      </c>
      <c r="N20" s="4" t="n">
        <v>7</v>
      </c>
      <c r="O20" s="4" t="n">
        <v>122</v>
      </c>
      <c r="P20" s="4" t="inlineStr">
        <is>
          <t>上台过7（需守庄）</t>
        </is>
      </c>
    </row>
    <row r="21">
      <c r="A21" s="4" t="n">
        <v>17</v>
      </c>
      <c r="B21" s="4" t="inlineStr">
        <is>
          <t>玩1</t>
        </is>
      </c>
      <c r="C21" s="4" t="n">
        <v>7</v>
      </c>
      <c r="D21" s="4" t="n">
        <v>122</v>
      </c>
      <c r="E21" s="4" t="n">
        <v>7</v>
      </c>
      <c r="F21" s="4" t="inlineStr">
        <is>
          <t>底牌首张</t>
        </is>
      </c>
      <c r="G21" s="4" t="inlineStr">
        <is>
          <t>底牌首张定主</t>
        </is>
      </c>
      <c r="H21" s="4" t="inlineStr">
        <is>
          <t>红桃</t>
        </is>
      </c>
      <c r="I21" s="4" t="n">
        <v>90</v>
      </c>
      <c r="J21" s="4" t="inlineStr">
        <is>
          <t>是</t>
        </is>
      </c>
      <c r="K21" s="4" t="inlineStr">
        <is>
          <t>大王</t>
        </is>
      </c>
      <c r="L21" s="4" t="inlineStr">
        <is>
          <t>+10</t>
        </is>
      </c>
      <c r="M21" s="4" t="n">
        <v>0</v>
      </c>
      <c r="N21" s="4" t="n">
        <v>7</v>
      </c>
      <c r="O21" s="4" t="n">
        <v>132</v>
      </c>
      <c r="P21" s="4" t="inlineStr">
        <is>
          <t>上台过7（需守庄）</t>
        </is>
      </c>
    </row>
    <row r="22">
      <c r="A22" s="4" t="n">
        <v>18</v>
      </c>
      <c r="B22" s="4" t="inlineStr">
        <is>
          <t>玩2</t>
        </is>
      </c>
      <c r="C22" s="4" t="n">
        <v>7</v>
      </c>
      <c r="D22" s="4" t="n">
        <v>132</v>
      </c>
      <c r="E22" s="4" t="n">
        <v>7</v>
      </c>
      <c r="F22" s="4" t="inlineStr">
        <is>
          <t>底牌首张</t>
        </is>
      </c>
      <c r="G22" s="4" t="inlineStr">
        <is>
          <t>底牌首张定主</t>
        </is>
      </c>
      <c r="H22" s="4" t="inlineStr">
        <is>
          <t>红桃</t>
        </is>
      </c>
      <c r="I22" s="4" t="n">
        <v>100</v>
      </c>
      <c r="J22" s="4" t="inlineStr">
        <is>
          <t>是</t>
        </is>
      </c>
      <c r="K22" s="4" t="inlineStr">
        <is>
          <t>♦2</t>
        </is>
      </c>
      <c r="L22" s="4" t="inlineStr">
        <is>
          <t>+9</t>
        </is>
      </c>
      <c r="M22" s="4" t="n">
        <v>0</v>
      </c>
      <c r="N22" s="4" t="n">
        <v>7</v>
      </c>
      <c r="O22" s="4" t="n">
        <v>141</v>
      </c>
      <c r="P22" s="4" t="inlineStr">
        <is>
          <t>上台过7（需守庄）</t>
        </is>
      </c>
    </row>
    <row r="23">
      <c r="A23" s="4" t="n">
        <v>19</v>
      </c>
      <c r="B23" s="4" t="inlineStr">
        <is>
          <t>玩3</t>
        </is>
      </c>
      <c r="C23" s="4" t="n">
        <v>7</v>
      </c>
      <c r="D23" s="4" t="n">
        <v>141</v>
      </c>
      <c r="E23" s="4" t="n">
        <v>7</v>
      </c>
      <c r="F23" s="4" t="inlineStr">
        <is>
          <t>底牌首张</t>
        </is>
      </c>
      <c r="G23" s="4" t="inlineStr">
        <is>
          <t>底牌首张定主</t>
        </is>
      </c>
      <c r="H23" s="4" t="inlineStr">
        <is>
          <t>红桃</t>
        </is>
      </c>
      <c r="I23" s="4" t="n">
        <v>90</v>
      </c>
      <c r="J23" s="4" t="inlineStr">
        <is>
          <t>否</t>
        </is>
      </c>
      <c r="K23" s="4" t="inlineStr">
        <is>
          <t>♣K</t>
        </is>
      </c>
      <c r="L23" s="4" t="inlineStr">
        <is>
          <t>+6</t>
        </is>
      </c>
      <c r="M23" s="4" t="n">
        <v>0</v>
      </c>
      <c r="N23" s="4" t="n">
        <v>7</v>
      </c>
      <c r="O23" s="4" t="n">
        <v>147</v>
      </c>
      <c r="P23" s="4" t="inlineStr">
        <is>
          <t>上台过7（需守庄）</t>
        </is>
      </c>
    </row>
    <row r="24">
      <c r="A24" s="4" t="n">
        <v>20</v>
      </c>
      <c r="B24" s="4" t="inlineStr">
        <is>
          <t>玩4</t>
        </is>
      </c>
      <c r="C24" s="4" t="n">
        <v>7</v>
      </c>
      <c r="D24" s="4" t="n">
        <v>147</v>
      </c>
      <c r="E24" s="4" t="n">
        <v>7</v>
      </c>
      <c r="F24" s="4" t="inlineStr">
        <is>
          <t>底牌首张</t>
        </is>
      </c>
      <c r="G24" s="4" t="inlineStr">
        <is>
          <t>底牌首张定主</t>
        </is>
      </c>
      <c r="H24" s="4" t="inlineStr">
        <is>
          <t>草花</t>
        </is>
      </c>
      <c r="I24" s="4" t="n">
        <v>100</v>
      </c>
      <c r="J24" s="4" t="inlineStr">
        <is>
          <t>是</t>
        </is>
      </c>
      <c r="K24" s="4" t="inlineStr">
        <is>
          <t>♠J</t>
        </is>
      </c>
      <c r="L24" s="4" t="inlineStr">
        <is>
          <t>+9</t>
        </is>
      </c>
      <c r="M24" s="4" t="n">
        <v>0</v>
      </c>
      <c r="N24" s="4" t="n">
        <v>7</v>
      </c>
      <c r="O24" s="4" t="n">
        <v>156</v>
      </c>
      <c r="P24" s="4" t="inlineStr">
        <is>
          <t>上台过7（需守庄）</t>
        </is>
      </c>
    </row>
    <row r="25">
      <c r="A25" s="4" t="n">
        <v>21</v>
      </c>
      <c r="B25" s="4" t="inlineStr">
        <is>
          <t>玩1</t>
        </is>
      </c>
      <c r="C25" s="4" t="n">
        <v>7</v>
      </c>
      <c r="D25" s="4" t="n">
        <v>156</v>
      </c>
      <c r="E25" s="4" t="n">
        <v>7</v>
      </c>
      <c r="F25" s="4" t="inlineStr">
        <is>
          <t>底牌首张</t>
        </is>
      </c>
      <c r="G25" s="4" t="inlineStr">
        <is>
          <t>底牌首张定主</t>
        </is>
      </c>
      <c r="H25" s="4" t="inlineStr">
        <is>
          <t>黑桃</t>
        </is>
      </c>
      <c r="I25" s="4" t="n">
        <v>90</v>
      </c>
      <c r="J25" s="4" t="inlineStr">
        <is>
          <t>是</t>
        </is>
      </c>
      <c r="K25" s="4" t="inlineStr">
        <is>
          <t>♠K</t>
        </is>
      </c>
      <c r="L25" s="4" t="inlineStr">
        <is>
          <t>+9</t>
        </is>
      </c>
      <c r="M25" s="4" t="n">
        <v>0</v>
      </c>
      <c r="N25" s="4" t="n">
        <v>7</v>
      </c>
      <c r="O25" s="4" t="n">
        <v>165</v>
      </c>
      <c r="P25" s="4" t="inlineStr">
        <is>
          <t>上台过7（需守庄）</t>
        </is>
      </c>
    </row>
    <row r="26">
      <c r="A26" s="4" t="n">
        <v>22</v>
      </c>
      <c r="B26" s="4" t="inlineStr">
        <is>
          <t>玩2</t>
        </is>
      </c>
      <c r="C26" s="4" t="n">
        <v>7</v>
      </c>
      <c r="D26" s="4" t="n">
        <v>165</v>
      </c>
      <c r="E26" s="4" t="n">
        <v>7</v>
      </c>
      <c r="F26" s="4" t="inlineStr">
        <is>
          <t>底牌首张</t>
        </is>
      </c>
      <c r="G26" s="4" t="inlineStr">
        <is>
          <t>底牌首张定主</t>
        </is>
      </c>
      <c r="H26" s="4" t="inlineStr">
        <is>
          <t>黑桃</t>
        </is>
      </c>
      <c r="I26" s="4" t="n">
        <v>100</v>
      </c>
      <c r="J26" s="4" t="inlineStr">
        <is>
          <t>是</t>
        </is>
      </c>
      <c r="K26" s="4" t="inlineStr">
        <is>
          <t>♥3</t>
        </is>
      </c>
      <c r="L26" s="4" t="inlineStr">
        <is>
          <t>+9</t>
        </is>
      </c>
      <c r="M26" s="4" t="n">
        <v>0</v>
      </c>
      <c r="N26" s="4" t="n">
        <v>7</v>
      </c>
      <c r="O26" s="4" t="n">
        <v>174</v>
      </c>
      <c r="P26" s="4" t="inlineStr">
        <is>
          <t>上台过7（需守庄）</t>
        </is>
      </c>
    </row>
    <row r="27">
      <c r="A27" s="4" t="n">
        <v>23</v>
      </c>
      <c r="B27" s="4" t="inlineStr">
        <is>
          <t>玩3</t>
        </is>
      </c>
      <c r="C27" s="4" t="n">
        <v>7</v>
      </c>
      <c r="D27" s="4" t="n">
        <v>174</v>
      </c>
      <c r="E27" s="4" t="n">
        <v>7</v>
      </c>
      <c r="F27" s="4" t="inlineStr">
        <is>
          <t>底牌首张</t>
        </is>
      </c>
      <c r="G27" s="4" t="inlineStr">
        <is>
          <t>底牌首张定主</t>
        </is>
      </c>
      <c r="H27" s="4" t="inlineStr">
        <is>
          <t>黑桃</t>
        </is>
      </c>
      <c r="I27" s="4" t="n">
        <v>95</v>
      </c>
      <c r="J27" s="4" t="inlineStr">
        <is>
          <t>否</t>
        </is>
      </c>
      <c r="K27" s="4" t="inlineStr">
        <is>
          <t>♥K</t>
        </is>
      </c>
      <c r="L27" s="4" t="inlineStr">
        <is>
          <t>+6</t>
        </is>
      </c>
      <c r="M27" s="4" t="n">
        <v>0</v>
      </c>
      <c r="N27" s="4" t="n">
        <v>7</v>
      </c>
      <c r="O27" s="4" t="n">
        <v>180</v>
      </c>
      <c r="P27" s="4" t="inlineStr">
        <is>
          <t>上台过7（需守庄）</t>
        </is>
      </c>
    </row>
    <row r="28">
      <c r="A28" s="4" t="n">
        <v>24</v>
      </c>
      <c r="B28" s="4" t="inlineStr">
        <is>
          <t>玩4</t>
        </is>
      </c>
      <c r="C28" s="4" t="n">
        <v>7</v>
      </c>
      <c r="D28" s="4" t="n">
        <v>180</v>
      </c>
      <c r="E28" s="4" t="n">
        <v>7</v>
      </c>
      <c r="F28" s="4" t="inlineStr">
        <is>
          <t>底牌首张</t>
        </is>
      </c>
      <c r="G28" s="4" t="inlineStr">
        <is>
          <t>底牌首张定主</t>
        </is>
      </c>
      <c r="H28" s="4" t="inlineStr">
        <is>
          <t>草花</t>
        </is>
      </c>
      <c r="I28" s="4" t="n">
        <v>100</v>
      </c>
      <c r="J28" s="4" t="inlineStr">
        <is>
          <t>是</t>
        </is>
      </c>
      <c r="K28" s="4" t="inlineStr">
        <is>
          <t>♣K</t>
        </is>
      </c>
      <c r="L28" s="4" t="inlineStr">
        <is>
          <t>+9</t>
        </is>
      </c>
      <c r="M28" s="4" t="n">
        <v>0</v>
      </c>
      <c r="N28" s="4" t="n">
        <v>7</v>
      </c>
      <c r="O28" s="4" t="n">
        <v>189</v>
      </c>
      <c r="P28" s="4" t="inlineStr">
        <is>
          <t>上台过7（需守庄）</t>
        </is>
      </c>
    </row>
    <row r="29">
      <c r="A29" s="4" t="n">
        <v>25</v>
      </c>
      <c r="B29" s="4" t="inlineStr">
        <is>
          <t>玩1</t>
        </is>
      </c>
      <c r="C29" s="4" t="n">
        <v>7</v>
      </c>
      <c r="D29" s="4" t="n">
        <v>189</v>
      </c>
      <c r="E29" s="4" t="n">
        <v>7</v>
      </c>
      <c r="F29" s="4" t="inlineStr">
        <is>
          <t>底牌首张</t>
        </is>
      </c>
      <c r="G29" s="4" t="inlineStr">
        <is>
          <t>底牌首张定主</t>
        </is>
      </c>
      <c r="H29" s="4" t="inlineStr">
        <is>
          <t>草花</t>
        </is>
      </c>
      <c r="I29" s="4" t="n">
        <v>100</v>
      </c>
      <c r="J29" s="4" t="inlineStr">
        <is>
          <t>否</t>
        </is>
      </c>
      <c r="K29" s="4" t="inlineStr">
        <is>
          <t>♣K</t>
        </is>
      </c>
      <c r="L29" s="4" t="inlineStr">
        <is>
          <t>+6</t>
        </is>
      </c>
      <c r="M29" s="4" t="n">
        <v>0</v>
      </c>
      <c r="N29" s="4" t="n">
        <v>7</v>
      </c>
      <c r="O29" s="4" t="n">
        <v>195</v>
      </c>
      <c r="P29" s="4" t="inlineStr">
        <is>
          <t>上台过7（需守庄）</t>
        </is>
      </c>
    </row>
    <row r="30">
      <c r="A30" s="4" t="n">
        <v>26</v>
      </c>
      <c r="B30" s="4" t="inlineStr">
        <is>
          <t>玩2</t>
        </is>
      </c>
      <c r="C30" s="4" t="n">
        <v>7</v>
      </c>
      <c r="D30" s="4" t="n">
        <v>195</v>
      </c>
      <c r="E30" s="4" t="n">
        <v>7</v>
      </c>
      <c r="F30" s="4" t="inlineStr">
        <is>
          <t>底牌首张</t>
        </is>
      </c>
      <c r="G30" s="4" t="inlineStr">
        <is>
          <t>底牌首张定主</t>
        </is>
      </c>
      <c r="H30" s="4" t="inlineStr">
        <is>
          <t>红桃</t>
        </is>
      </c>
      <c r="I30" s="4" t="n">
        <v>95</v>
      </c>
      <c r="J30" s="4" t="inlineStr">
        <is>
          <t>是</t>
        </is>
      </c>
      <c r="K30" s="4" t="inlineStr">
        <is>
          <t>大王</t>
        </is>
      </c>
      <c r="L30" s="4" t="inlineStr">
        <is>
          <t>+10</t>
        </is>
      </c>
      <c r="M30" s="4" t="n">
        <v>0</v>
      </c>
      <c r="N30" s="4" t="n">
        <v>7</v>
      </c>
      <c r="O30" s="4" t="n">
        <v>205</v>
      </c>
      <c r="P30" s="4" t="inlineStr">
        <is>
          <t>上台过7（需守庄）</t>
        </is>
      </c>
    </row>
    <row r="31">
      <c r="A31" s="4" t="n">
        <v>27</v>
      </c>
      <c r="B31" s="4" t="inlineStr">
        <is>
          <t>玩3</t>
        </is>
      </c>
      <c r="C31" s="4" t="n">
        <v>7</v>
      </c>
      <c r="D31" s="4" t="n">
        <v>205</v>
      </c>
      <c r="E31" s="4" t="n">
        <v>7</v>
      </c>
      <c r="F31" s="4" t="inlineStr">
        <is>
          <t>底牌首张</t>
        </is>
      </c>
      <c r="G31" s="4" t="inlineStr">
        <is>
          <t>底牌首张定主</t>
        </is>
      </c>
      <c r="H31" s="4" t="inlineStr">
        <is>
          <t>草花</t>
        </is>
      </c>
      <c r="I31" s="4" t="n">
        <v>85</v>
      </c>
      <c r="J31" s="4" t="inlineStr">
        <is>
          <t>是</t>
        </is>
      </c>
      <c r="K31" s="4" t="inlineStr">
        <is>
          <t>♠5</t>
        </is>
      </c>
      <c r="L31" s="4" t="inlineStr">
        <is>
          <t>+8</t>
        </is>
      </c>
      <c r="M31" s="4" t="n">
        <v>0</v>
      </c>
      <c r="N31" s="4" t="n">
        <v>7</v>
      </c>
      <c r="O31" s="4" t="n">
        <v>213</v>
      </c>
      <c r="P31" s="4" t="inlineStr">
        <is>
          <t>上台过7（需守庄）</t>
        </is>
      </c>
    </row>
    <row r="32">
      <c r="A32" s="4" t="n">
        <v>28</v>
      </c>
      <c r="B32" s="4" t="inlineStr">
        <is>
          <t>玩4</t>
        </is>
      </c>
      <c r="C32" s="4" t="n">
        <v>7</v>
      </c>
      <c r="D32" s="4" t="n">
        <v>213</v>
      </c>
      <c r="E32" s="4" t="n">
        <v>7</v>
      </c>
      <c r="F32" s="4" t="inlineStr">
        <is>
          <t>底牌首张</t>
        </is>
      </c>
      <c r="G32" s="4" t="inlineStr">
        <is>
          <t>底牌首张定主</t>
        </is>
      </c>
      <c r="H32" s="4" t="inlineStr">
        <is>
          <t>方块</t>
        </is>
      </c>
      <c r="I32" s="4" t="n">
        <v>90</v>
      </c>
      <c r="J32" s="4" t="inlineStr">
        <is>
          <t>是</t>
        </is>
      </c>
      <c r="K32" s="4" t="inlineStr">
        <is>
          <t>♣10</t>
        </is>
      </c>
      <c r="L32" s="4" t="inlineStr">
        <is>
          <t>+9</t>
        </is>
      </c>
      <c r="M32" s="4" t="n">
        <v>0</v>
      </c>
      <c r="N32" s="4" t="n">
        <v>7</v>
      </c>
      <c r="O32" s="4" t="n">
        <v>222</v>
      </c>
      <c r="P32" s="4" t="inlineStr">
        <is>
          <t>上台过7（需守庄）</t>
        </is>
      </c>
    </row>
    <row r="33">
      <c r="A33" s="4" t="n">
        <v>29</v>
      </c>
      <c r="B33" s="4" t="inlineStr">
        <is>
          <t>玩1</t>
        </is>
      </c>
      <c r="C33" s="4" t="n">
        <v>7</v>
      </c>
      <c r="D33" s="4" t="n">
        <v>222</v>
      </c>
      <c r="E33" s="4" t="n">
        <v>7</v>
      </c>
      <c r="F33" s="4" t="inlineStr">
        <is>
          <t>底牌首张</t>
        </is>
      </c>
      <c r="G33" s="4" t="inlineStr">
        <is>
          <t>底牌首张定主</t>
        </is>
      </c>
      <c r="H33" s="4" t="inlineStr">
        <is>
          <t>红桃</t>
        </is>
      </c>
      <c r="I33" s="4" t="n">
        <v>100</v>
      </c>
      <c r="J33" s="4" t="inlineStr">
        <is>
          <t>否</t>
        </is>
      </c>
      <c r="K33" s="4" t="inlineStr">
        <is>
          <t>小王</t>
        </is>
      </c>
      <c r="L33" s="4" t="inlineStr">
        <is>
          <t>+6</t>
        </is>
      </c>
      <c r="M33" s="4" t="n">
        <v>0</v>
      </c>
      <c r="N33" s="4" t="n">
        <v>7</v>
      </c>
      <c r="O33" s="4" t="n">
        <v>228</v>
      </c>
      <c r="P33" s="4" t="inlineStr">
        <is>
          <t>上台过7（需守庄）</t>
        </is>
      </c>
    </row>
    <row r="34">
      <c r="A34" s="4" t="n">
        <v>30</v>
      </c>
      <c r="B34" s="4" t="inlineStr">
        <is>
          <t>玩2</t>
        </is>
      </c>
      <c r="C34" s="4" t="n">
        <v>7</v>
      </c>
      <c r="D34" s="4" t="n">
        <v>228</v>
      </c>
      <c r="E34" s="4" t="n">
        <v>7</v>
      </c>
      <c r="F34" s="4" t="inlineStr">
        <is>
          <t>底牌首张</t>
        </is>
      </c>
      <c r="G34" s="4" t="inlineStr">
        <is>
          <t>底牌首张定主</t>
        </is>
      </c>
      <c r="H34" s="4" t="inlineStr">
        <is>
          <t>红桃</t>
        </is>
      </c>
      <c r="I34" s="4" t="n">
        <v>95</v>
      </c>
      <c r="J34" s="4" t="inlineStr">
        <is>
          <t>否</t>
        </is>
      </c>
      <c r="K34" s="4" t="inlineStr">
        <is>
          <t>小王</t>
        </is>
      </c>
      <c r="L34" s="4" t="inlineStr">
        <is>
          <t>+6</t>
        </is>
      </c>
      <c r="M34" s="4" t="n">
        <v>0</v>
      </c>
      <c r="N34" s="4" t="n">
        <v>7</v>
      </c>
      <c r="O34" s="4" t="n">
        <v>234</v>
      </c>
      <c r="P34" s="4" t="inlineStr">
        <is>
          <t>上台过7（需守庄）</t>
        </is>
      </c>
    </row>
    <row r="35">
      <c r="A35" s="4" t="n">
        <v>31</v>
      </c>
      <c r="B35" s="4" t="inlineStr">
        <is>
          <t>玩3</t>
        </is>
      </c>
      <c r="C35" s="4" t="n">
        <v>7</v>
      </c>
      <c r="D35" s="4" t="n">
        <v>234</v>
      </c>
      <c r="E35" s="4" t="n">
        <v>7</v>
      </c>
      <c r="F35" s="4" t="inlineStr">
        <is>
          <t>底牌首张</t>
        </is>
      </c>
      <c r="G35" s="4" t="inlineStr">
        <is>
          <t>底牌首张定主</t>
        </is>
      </c>
      <c r="H35" s="4" t="inlineStr">
        <is>
          <t>红桃</t>
        </is>
      </c>
      <c r="I35" s="4" t="n">
        <v>90</v>
      </c>
      <c r="J35" s="4" t="inlineStr">
        <is>
          <t>是</t>
        </is>
      </c>
      <c r="K35" s="4" t="inlineStr">
        <is>
          <t>♥A</t>
        </is>
      </c>
      <c r="L35" s="4" t="inlineStr">
        <is>
          <t>+9</t>
        </is>
      </c>
      <c r="M35" s="4" t="n">
        <v>0</v>
      </c>
      <c r="N35" s="4" t="n">
        <v>7</v>
      </c>
      <c r="O35" s="4" t="n">
        <v>243</v>
      </c>
      <c r="P35" s="4" t="inlineStr">
        <is>
          <t>上台过7（需守庄）</t>
        </is>
      </c>
    </row>
    <row r="36">
      <c r="A36" s="4" t="n">
        <v>32</v>
      </c>
      <c r="B36" s="4" t="inlineStr">
        <is>
          <t>玩4</t>
        </is>
      </c>
      <c r="C36" s="4" t="n">
        <v>7</v>
      </c>
      <c r="D36" s="4" t="n">
        <v>243</v>
      </c>
      <c r="E36" s="4" t="n">
        <v>7</v>
      </c>
      <c r="F36" s="4" t="inlineStr">
        <is>
          <t>底牌首张</t>
        </is>
      </c>
      <c r="G36" s="4" t="inlineStr">
        <is>
          <t>底牌首张定主</t>
        </is>
      </c>
      <c r="H36" s="4" t="inlineStr">
        <is>
          <t>方块</t>
        </is>
      </c>
      <c r="I36" s="4" t="n">
        <v>100</v>
      </c>
      <c r="J36" s="4" t="inlineStr">
        <is>
          <t>是</t>
        </is>
      </c>
      <c r="K36" s="4" t="inlineStr">
        <is>
          <t>♠K</t>
        </is>
      </c>
      <c r="L36" s="4" t="inlineStr">
        <is>
          <t>+9</t>
        </is>
      </c>
      <c r="M36" s="4" t="n">
        <v>0</v>
      </c>
      <c r="N36" s="4" t="n">
        <v>7</v>
      </c>
      <c r="O36" s="4" t="n">
        <v>252</v>
      </c>
      <c r="P36" s="4" t="inlineStr">
        <is>
          <t>上台过7（需守庄）</t>
        </is>
      </c>
    </row>
    <row r="37">
      <c r="A37" s="4" t="n">
        <v>33</v>
      </c>
      <c r="B37" s="4" t="inlineStr">
        <is>
          <t>玩1</t>
        </is>
      </c>
      <c r="C37" s="4" t="n">
        <v>7</v>
      </c>
      <c r="D37" s="4" t="n">
        <v>252</v>
      </c>
      <c r="E37" s="4" t="n">
        <v>7</v>
      </c>
      <c r="F37" s="4" t="inlineStr">
        <is>
          <t>底牌首张</t>
        </is>
      </c>
      <c r="G37" s="4" t="inlineStr">
        <is>
          <t>底牌首张定主</t>
        </is>
      </c>
      <c r="H37" s="4" t="inlineStr">
        <is>
          <t>黑桃</t>
        </is>
      </c>
      <c r="I37" s="4" t="n">
        <v>100</v>
      </c>
      <c r="J37" s="4" t="inlineStr">
        <is>
          <t>是</t>
        </is>
      </c>
      <c r="K37" s="4" t="inlineStr">
        <is>
          <t>♥A</t>
        </is>
      </c>
      <c r="L37" s="4" t="inlineStr">
        <is>
          <t>+9</t>
        </is>
      </c>
      <c r="M37" s="4" t="n">
        <v>0</v>
      </c>
      <c r="N37" s="4" t="n">
        <v>7</v>
      </c>
      <c r="O37" s="4" t="n">
        <v>261</v>
      </c>
      <c r="P37" s="4" t="inlineStr">
        <is>
          <t>上台过7（需守庄）</t>
        </is>
      </c>
    </row>
    <row r="38">
      <c r="A38" s="4" t="n">
        <v>34</v>
      </c>
      <c r="B38" s="4" t="inlineStr">
        <is>
          <t>玩2</t>
        </is>
      </c>
      <c r="C38" s="4" t="n">
        <v>7</v>
      </c>
      <c r="D38" s="4" t="n">
        <v>261</v>
      </c>
      <c r="E38" s="4" t="n">
        <v>7</v>
      </c>
      <c r="F38" s="4" t="inlineStr">
        <is>
          <t>底牌首张</t>
        </is>
      </c>
      <c r="G38" s="4" t="inlineStr">
        <is>
          <t>底牌首张定主</t>
        </is>
      </c>
      <c r="H38" s="4" t="inlineStr">
        <is>
          <t>方块</t>
        </is>
      </c>
      <c r="I38" s="4" t="n">
        <v>100</v>
      </c>
      <c r="J38" s="4" t="inlineStr">
        <is>
          <t>是</t>
        </is>
      </c>
      <c r="K38" s="4" t="inlineStr">
        <is>
          <t>♥3</t>
        </is>
      </c>
      <c r="L38" s="4" t="inlineStr">
        <is>
          <t>+9</t>
        </is>
      </c>
      <c r="M38" s="4" t="n">
        <v>0</v>
      </c>
      <c r="N38" s="4" t="n">
        <v>7</v>
      </c>
      <c r="O38" s="4" t="n">
        <v>270</v>
      </c>
      <c r="P38" s="4" t="inlineStr">
        <is>
          <t>上台过7（需守庄）</t>
        </is>
      </c>
    </row>
    <row r="39">
      <c r="A39" s="4" t="n">
        <v>35</v>
      </c>
      <c r="B39" s="4" t="inlineStr">
        <is>
          <t>玩3</t>
        </is>
      </c>
      <c r="C39" s="4" t="n">
        <v>7</v>
      </c>
      <c r="D39" s="4" t="n">
        <v>270</v>
      </c>
      <c r="E39" s="4" t="n">
        <v>7</v>
      </c>
      <c r="F39" s="4" t="inlineStr">
        <is>
          <t>底牌首张</t>
        </is>
      </c>
      <c r="G39" s="4" t="inlineStr">
        <is>
          <t>底牌首张定主</t>
        </is>
      </c>
      <c r="H39" s="4" t="inlineStr">
        <is>
          <t>红桃</t>
        </is>
      </c>
      <c r="I39" s="4" t="n">
        <v>90</v>
      </c>
      <c r="J39" s="4" t="inlineStr">
        <is>
          <t>是</t>
        </is>
      </c>
      <c r="K39" s="4" t="inlineStr">
        <is>
          <t>♠Q</t>
        </is>
      </c>
      <c r="L39" s="4" t="inlineStr">
        <is>
          <t>+9</t>
        </is>
      </c>
      <c r="M39" s="4" t="n">
        <v>0</v>
      </c>
      <c r="N39" s="4" t="n">
        <v>7</v>
      </c>
      <c r="O39" s="4" t="n">
        <v>279</v>
      </c>
      <c r="P39" s="4" t="inlineStr">
        <is>
          <t>上台过7（需守庄）</t>
        </is>
      </c>
    </row>
    <row r="40">
      <c r="A40" s="4" t="n">
        <v>36</v>
      </c>
      <c r="B40" s="4" t="inlineStr">
        <is>
          <t>玩4</t>
        </is>
      </c>
      <c r="C40" s="4" t="n">
        <v>7</v>
      </c>
      <c r="D40" s="4" t="n">
        <v>279</v>
      </c>
      <c r="E40" s="4" t="n">
        <v>7</v>
      </c>
      <c r="F40" s="4" t="inlineStr">
        <is>
          <t>底牌首张</t>
        </is>
      </c>
      <c r="G40" s="4" t="inlineStr">
        <is>
          <t>底牌首张定主</t>
        </is>
      </c>
      <c r="H40" s="4" t="inlineStr">
        <is>
          <t>红桃</t>
        </is>
      </c>
      <c r="I40" s="4" t="n">
        <v>100</v>
      </c>
      <c r="J40" s="4" t="inlineStr">
        <is>
          <t>否</t>
        </is>
      </c>
      <c r="K40" s="4" t="inlineStr">
        <is>
          <t>大王</t>
        </is>
      </c>
      <c r="L40" s="4" t="inlineStr">
        <is>
          <t>+6</t>
        </is>
      </c>
      <c r="M40" s="4" t="n">
        <v>0</v>
      </c>
      <c r="N40" s="4" t="n">
        <v>7</v>
      </c>
      <c r="O40" s="4" t="n">
        <v>285</v>
      </c>
      <c r="P40" s="4" t="inlineStr">
        <is>
          <t>上台过7（需守庄）</t>
        </is>
      </c>
    </row>
    <row r="41">
      <c r="A41" s="4" t="n">
        <v>37</v>
      </c>
      <c r="B41" s="4" t="inlineStr">
        <is>
          <t>玩1</t>
        </is>
      </c>
      <c r="C41" s="4" t="n">
        <v>7</v>
      </c>
      <c r="D41" s="4" t="n">
        <v>285</v>
      </c>
      <c r="E41" s="4" t="n">
        <v>7</v>
      </c>
      <c r="F41" s="4" t="inlineStr">
        <is>
          <t>底牌首张</t>
        </is>
      </c>
      <c r="G41" s="4" t="inlineStr">
        <is>
          <t>底牌首张定主</t>
        </is>
      </c>
      <c r="H41" s="4" t="inlineStr">
        <is>
          <t>草花</t>
        </is>
      </c>
      <c r="I41" s="4" t="n">
        <v>90</v>
      </c>
      <c r="J41" s="4" t="inlineStr">
        <is>
          <t>否</t>
        </is>
      </c>
      <c r="K41" s="4" t="inlineStr">
        <is>
          <t>小王</t>
        </is>
      </c>
      <c r="L41" s="4" t="inlineStr">
        <is>
          <t>+6</t>
        </is>
      </c>
      <c r="M41" s="4" t="n">
        <v>0</v>
      </c>
      <c r="N41" s="4" t="n">
        <v>7</v>
      </c>
      <c r="O41" s="4" t="n">
        <v>291</v>
      </c>
      <c r="P41" s="4" t="inlineStr">
        <is>
          <t>上台过7（需守庄）</t>
        </is>
      </c>
    </row>
    <row r="42">
      <c r="A42" s="4" t="n">
        <v>38</v>
      </c>
      <c r="B42" s="4" t="inlineStr">
        <is>
          <t>玩2</t>
        </is>
      </c>
      <c r="C42" s="4" t="n">
        <v>7</v>
      </c>
      <c r="D42" s="4" t="n">
        <v>291</v>
      </c>
      <c r="E42" s="4" t="n">
        <v>7</v>
      </c>
      <c r="F42" s="4" t="inlineStr">
        <is>
          <t>底牌首张</t>
        </is>
      </c>
      <c r="G42" s="4" t="inlineStr">
        <is>
          <t>底牌首张定主</t>
        </is>
      </c>
      <c r="H42" s="4" t="inlineStr">
        <is>
          <t>黑桃</t>
        </is>
      </c>
      <c r="I42" s="4" t="n">
        <v>100</v>
      </c>
      <c r="J42" s="4" t="inlineStr">
        <is>
          <t>是</t>
        </is>
      </c>
      <c r="K42" s="4" t="inlineStr">
        <is>
          <t>♥9</t>
        </is>
      </c>
      <c r="L42" s="4" t="inlineStr">
        <is>
          <t>+9</t>
        </is>
      </c>
      <c r="M42" s="4" t="n">
        <v>0</v>
      </c>
      <c r="N42" s="4" t="n">
        <v>7</v>
      </c>
      <c r="O42" s="4" t="n">
        <v>300</v>
      </c>
      <c r="P42" s="4" t="inlineStr">
        <is>
          <t>上台过7（需守庄）</t>
        </is>
      </c>
    </row>
    <row r="43">
      <c r="A43" s="4" t="n">
        <v>39</v>
      </c>
      <c r="B43" s="4" t="inlineStr">
        <is>
          <t>玩3</t>
        </is>
      </c>
      <c r="C43" s="4" t="n">
        <v>7</v>
      </c>
      <c r="D43" s="4" t="n">
        <v>300</v>
      </c>
      <c r="E43" s="4" t="n">
        <v>7</v>
      </c>
      <c r="F43" s="4" t="inlineStr">
        <is>
          <t>底牌首张</t>
        </is>
      </c>
      <c r="G43" s="4" t="inlineStr">
        <is>
          <t>底牌首张定主</t>
        </is>
      </c>
      <c r="H43" s="4" t="inlineStr">
        <is>
          <t>草花</t>
        </is>
      </c>
      <c r="I43" s="4" t="n">
        <v>95</v>
      </c>
      <c r="J43" s="4" t="inlineStr">
        <is>
          <t>否</t>
        </is>
      </c>
      <c r="K43" s="4" t="inlineStr">
        <is>
          <t>小王</t>
        </is>
      </c>
      <c r="L43" s="4" t="inlineStr">
        <is>
          <t>+6</t>
        </is>
      </c>
      <c r="M43" s="4" t="n">
        <v>0</v>
      </c>
      <c r="N43" s="4" t="n">
        <v>7</v>
      </c>
      <c r="O43" s="4" t="n">
        <v>306</v>
      </c>
      <c r="P43" s="4" t="inlineStr">
        <is>
          <t>上台过7（需守庄）</t>
        </is>
      </c>
    </row>
    <row r="44">
      <c r="A44" s="4" t="n">
        <v>40</v>
      </c>
      <c r="B44" s="4" t="inlineStr">
        <is>
          <t>玩4</t>
        </is>
      </c>
      <c r="C44" s="4" t="n">
        <v>7</v>
      </c>
      <c r="D44" s="4" t="n">
        <v>306</v>
      </c>
      <c r="E44" s="4" t="n">
        <v>7</v>
      </c>
      <c r="F44" s="4" t="inlineStr">
        <is>
          <t>底牌首张</t>
        </is>
      </c>
      <c r="G44" s="4" t="inlineStr">
        <is>
          <t>底牌首张定主</t>
        </is>
      </c>
      <c r="H44" s="4" t="inlineStr">
        <is>
          <t>红桃</t>
        </is>
      </c>
      <c r="I44" s="4" t="n">
        <v>100</v>
      </c>
      <c r="J44" s="4" t="inlineStr">
        <is>
          <t>是</t>
        </is>
      </c>
      <c r="K44" s="4" t="inlineStr">
        <is>
          <t>小王</t>
        </is>
      </c>
      <c r="L44" s="4" t="inlineStr">
        <is>
          <t>+9</t>
        </is>
      </c>
      <c r="M44" s="4" t="n">
        <v>0</v>
      </c>
      <c r="N44" s="4" t="n">
        <v>7</v>
      </c>
      <c r="O44" s="4" t="n">
        <v>315</v>
      </c>
      <c r="P44" s="4" t="inlineStr">
        <is>
          <t>上台过7（需守庄）</t>
        </is>
      </c>
    </row>
    <row r="45">
      <c r="A45" s="4" t="n">
        <v>41</v>
      </c>
      <c r="B45" s="4" t="inlineStr">
        <is>
          <t>玩1</t>
        </is>
      </c>
      <c r="C45" s="4" t="n">
        <v>7</v>
      </c>
      <c r="D45" s="4" t="n">
        <v>315</v>
      </c>
      <c r="E45" s="4" t="n">
        <v>7</v>
      </c>
      <c r="F45" s="4" t="inlineStr">
        <is>
          <t>底牌首张</t>
        </is>
      </c>
      <c r="G45" s="4" t="inlineStr">
        <is>
          <t>底牌首张定主</t>
        </is>
      </c>
      <c r="H45" s="4" t="inlineStr">
        <is>
          <t>黑桃</t>
        </is>
      </c>
      <c r="I45" s="4" t="n">
        <v>100</v>
      </c>
      <c r="J45" s="4" t="inlineStr">
        <is>
          <t>是</t>
        </is>
      </c>
      <c r="K45" s="4" t="inlineStr">
        <is>
          <t>大王</t>
        </is>
      </c>
      <c r="L45" s="4" t="inlineStr">
        <is>
          <t>+10</t>
        </is>
      </c>
      <c r="M45" s="4" t="n">
        <v>0</v>
      </c>
      <c r="N45" s="4" t="n">
        <v>7</v>
      </c>
      <c r="O45" s="4" t="n">
        <v>325</v>
      </c>
      <c r="P45" s="4" t="inlineStr">
        <is>
          <t>上台过7（需守庄）</t>
        </is>
      </c>
    </row>
    <row r="46">
      <c r="A46" s="4" t="n">
        <v>42</v>
      </c>
      <c r="B46" s="4" t="inlineStr">
        <is>
          <t>玩2</t>
        </is>
      </c>
      <c r="C46" s="4" t="n">
        <v>7</v>
      </c>
      <c r="D46" s="4" t="n">
        <v>325</v>
      </c>
      <c r="E46" s="4" t="n">
        <v>7</v>
      </c>
      <c r="F46" s="4" t="inlineStr">
        <is>
          <t>底牌首张</t>
        </is>
      </c>
      <c r="G46" s="4" t="inlineStr">
        <is>
          <t>底牌首张定主</t>
        </is>
      </c>
      <c r="H46" s="4" t="inlineStr">
        <is>
          <t>方块</t>
        </is>
      </c>
      <c r="I46" s="4" t="n">
        <v>100</v>
      </c>
      <c r="J46" s="4" t="inlineStr">
        <is>
          <t>否</t>
        </is>
      </c>
      <c r="K46" s="4" t="inlineStr">
        <is>
          <t>♥A</t>
        </is>
      </c>
      <c r="L46" s="4" t="inlineStr">
        <is>
          <t>+6</t>
        </is>
      </c>
      <c r="M46" s="4" t="n">
        <v>0</v>
      </c>
      <c r="N46" s="4" t="n">
        <v>7</v>
      </c>
      <c r="O46" s="4" t="n">
        <v>331</v>
      </c>
      <c r="P46" s="4" t="inlineStr">
        <is>
          <t>上台过7（需守庄）</t>
        </is>
      </c>
    </row>
    <row r="47">
      <c r="A47" s="4" t="n">
        <v>43</v>
      </c>
      <c r="B47" s="4" t="inlineStr">
        <is>
          <t>玩3</t>
        </is>
      </c>
      <c r="C47" s="4" t="n">
        <v>7</v>
      </c>
      <c r="D47" s="4" t="n">
        <v>331</v>
      </c>
      <c r="E47" s="4" t="n">
        <v>7</v>
      </c>
      <c r="F47" s="4" t="inlineStr">
        <is>
          <t>底牌首张</t>
        </is>
      </c>
      <c r="G47" s="4" t="inlineStr">
        <is>
          <t>底牌首张定主</t>
        </is>
      </c>
      <c r="H47" s="4" t="inlineStr">
        <is>
          <t>草花</t>
        </is>
      </c>
      <c r="I47" s="4" t="n">
        <v>100</v>
      </c>
      <c r="J47" s="4" t="inlineStr">
        <is>
          <t>是</t>
        </is>
      </c>
      <c r="K47" s="4" t="inlineStr">
        <is>
          <t>♠2</t>
        </is>
      </c>
      <c r="L47" s="4" t="inlineStr">
        <is>
          <t>+9</t>
        </is>
      </c>
      <c r="M47" s="4" t="n">
        <v>0</v>
      </c>
      <c r="N47" s="4" t="n">
        <v>7</v>
      </c>
      <c r="O47" s="4" t="n">
        <v>340</v>
      </c>
      <c r="P47" s="4" t="inlineStr">
        <is>
          <t>上台过7（需守庄）</t>
        </is>
      </c>
    </row>
    <row r="48">
      <c r="A48" s="4" t="n">
        <v>44</v>
      </c>
      <c r="B48" s="4" t="inlineStr">
        <is>
          <t>玩4</t>
        </is>
      </c>
      <c r="C48" s="4" t="n">
        <v>7</v>
      </c>
      <c r="D48" s="4" t="n">
        <v>340</v>
      </c>
      <c r="E48" s="4" t="n">
        <v>7</v>
      </c>
      <c r="F48" s="4" t="inlineStr">
        <is>
          <t>底牌首张</t>
        </is>
      </c>
      <c r="G48" s="4" t="inlineStr">
        <is>
          <t>底牌首张定主</t>
        </is>
      </c>
      <c r="H48" s="4" t="inlineStr">
        <is>
          <t>草花</t>
        </is>
      </c>
      <c r="I48" s="4" t="n">
        <v>90</v>
      </c>
      <c r="J48" s="4" t="inlineStr">
        <is>
          <t>是</t>
        </is>
      </c>
      <c r="K48" s="4" t="inlineStr">
        <is>
          <t>♠A</t>
        </is>
      </c>
      <c r="L48" s="4" t="inlineStr">
        <is>
          <t>+9</t>
        </is>
      </c>
      <c r="M48" s="4" t="n">
        <v>0</v>
      </c>
      <c r="N48" s="4" t="n">
        <v>7</v>
      </c>
      <c r="O48" s="4" t="n">
        <v>349</v>
      </c>
      <c r="P48" s="4" t="inlineStr">
        <is>
          <t>上台过7（需守庄）</t>
        </is>
      </c>
    </row>
    <row r="49">
      <c r="A49" s="4" t="n">
        <v>45</v>
      </c>
      <c r="B49" s="4" t="inlineStr">
        <is>
          <t>玩1</t>
        </is>
      </c>
      <c r="C49" s="4" t="n">
        <v>7</v>
      </c>
      <c r="D49" s="4" t="n">
        <v>349</v>
      </c>
      <c r="E49" s="4" t="n">
        <v>7</v>
      </c>
      <c r="F49" s="4" t="inlineStr">
        <is>
          <t>底牌首张</t>
        </is>
      </c>
      <c r="G49" s="4" t="inlineStr">
        <is>
          <t>底牌首张定主</t>
        </is>
      </c>
      <c r="H49" s="4" t="inlineStr">
        <is>
          <t>黑桃</t>
        </is>
      </c>
      <c r="I49" s="4" t="n">
        <v>95</v>
      </c>
      <c r="J49" s="4" t="inlineStr">
        <is>
          <t>否</t>
        </is>
      </c>
      <c r="K49" s="4" t="inlineStr">
        <is>
          <t>大王</t>
        </is>
      </c>
      <c r="L49" s="4" t="inlineStr">
        <is>
          <t>+6</t>
        </is>
      </c>
      <c r="M49" s="4" t="n">
        <v>0</v>
      </c>
      <c r="N49" s="4" t="n">
        <v>7</v>
      </c>
      <c r="O49" s="4" t="n">
        <v>355</v>
      </c>
      <c r="P49" s="4" t="inlineStr">
        <is>
          <t>上台过7（需守庄）</t>
        </is>
      </c>
    </row>
    <row r="50">
      <c r="A50" s="4" t="n">
        <v>46</v>
      </c>
      <c r="B50" s="4" t="inlineStr">
        <is>
          <t>玩2</t>
        </is>
      </c>
      <c r="C50" s="4" t="n">
        <v>7</v>
      </c>
      <c r="D50" s="4" t="n">
        <v>355</v>
      </c>
      <c r="E50" s="4" t="n">
        <v>7</v>
      </c>
      <c r="F50" s="4" t="inlineStr">
        <is>
          <t>底牌首张</t>
        </is>
      </c>
      <c r="G50" s="4" t="inlineStr">
        <is>
          <t>底牌首张定主</t>
        </is>
      </c>
      <c r="H50" s="4" t="inlineStr">
        <is>
          <t>黑桃</t>
        </is>
      </c>
      <c r="I50" s="4" t="n">
        <v>100</v>
      </c>
      <c r="J50" s="4" t="inlineStr">
        <is>
          <t>是</t>
        </is>
      </c>
      <c r="K50" s="4" t="inlineStr">
        <is>
          <t>♥K</t>
        </is>
      </c>
      <c r="L50" s="4" t="inlineStr">
        <is>
          <t>+9</t>
        </is>
      </c>
      <c r="M50" s="4" t="n">
        <v>0</v>
      </c>
      <c r="N50" s="4" t="n">
        <v>7</v>
      </c>
      <c r="O50" s="4" t="n">
        <v>364</v>
      </c>
      <c r="P50" s="4" t="inlineStr">
        <is>
          <t>上台过7（需守庄）</t>
        </is>
      </c>
    </row>
    <row r="51">
      <c r="A51" s="4" t="n">
        <v>47</v>
      </c>
      <c r="B51" s="4" t="inlineStr">
        <is>
          <t>玩3</t>
        </is>
      </c>
      <c r="C51" s="4" t="n">
        <v>7</v>
      </c>
      <c r="D51" s="4" t="n">
        <v>364</v>
      </c>
      <c r="E51" s="4" t="n">
        <v>7</v>
      </c>
      <c r="F51" s="4" t="inlineStr">
        <is>
          <t>底牌首张</t>
        </is>
      </c>
      <c r="G51" s="4" t="inlineStr">
        <is>
          <t>底牌首张定主</t>
        </is>
      </c>
      <c r="H51" s="4" t="inlineStr">
        <is>
          <t>红桃</t>
        </is>
      </c>
      <c r="I51" s="4" t="n">
        <v>100</v>
      </c>
      <c r="J51" s="4" t="inlineStr">
        <is>
          <t>否</t>
        </is>
      </c>
      <c r="K51" s="4" t="inlineStr">
        <is>
          <t>♥K</t>
        </is>
      </c>
      <c r="L51" s="4" t="inlineStr">
        <is>
          <t>+6</t>
        </is>
      </c>
      <c r="M51" s="4" t="n">
        <v>0</v>
      </c>
      <c r="N51" s="4" t="n">
        <v>7</v>
      </c>
      <c r="O51" s="4" t="n">
        <v>370</v>
      </c>
      <c r="P51" s="4" t="inlineStr">
        <is>
          <t>上台过7（需守庄）</t>
        </is>
      </c>
    </row>
    <row r="52">
      <c r="A52" s="4" t="n">
        <v>48</v>
      </c>
      <c r="B52" s="4" t="inlineStr">
        <is>
          <t>玩4</t>
        </is>
      </c>
      <c r="C52" s="4" t="n">
        <v>7</v>
      </c>
      <c r="D52" s="4" t="n">
        <v>370</v>
      </c>
      <c r="E52" s="4" t="n">
        <v>7</v>
      </c>
      <c r="F52" s="4" t="inlineStr">
        <is>
          <t>底牌首张</t>
        </is>
      </c>
      <c r="G52" s="4" t="inlineStr">
        <is>
          <t>底牌首张定主</t>
        </is>
      </c>
      <c r="H52" s="4" t="inlineStr">
        <is>
          <t>方块</t>
        </is>
      </c>
      <c r="I52" s="4" t="n">
        <v>95</v>
      </c>
      <c r="J52" s="4" t="inlineStr">
        <is>
          <t>是</t>
        </is>
      </c>
      <c r="K52" s="4" t="inlineStr">
        <is>
          <t>♠K</t>
        </is>
      </c>
      <c r="L52" s="4" t="inlineStr">
        <is>
          <t>+9</t>
        </is>
      </c>
      <c r="M52" s="4" t="n">
        <v>0</v>
      </c>
      <c r="N52" s="4" t="n">
        <v>7</v>
      </c>
      <c r="O52" s="4" t="n">
        <v>379</v>
      </c>
      <c r="P52" s="4" t="inlineStr">
        <is>
          <t>上台过7（需守庄）</t>
        </is>
      </c>
    </row>
    <row r="53">
      <c r="A53" s="4" t="n">
        <v>49</v>
      </c>
      <c r="B53" s="4" t="inlineStr">
        <is>
          <t>玩1</t>
        </is>
      </c>
      <c r="C53" s="4" t="n">
        <v>7</v>
      </c>
      <c r="D53" s="4" t="n">
        <v>379</v>
      </c>
      <c r="E53" s="4" t="n">
        <v>7</v>
      </c>
      <c r="F53" s="4" t="inlineStr">
        <is>
          <t>底牌首张</t>
        </is>
      </c>
      <c r="G53" s="4" t="inlineStr">
        <is>
          <t>底牌首张定主</t>
        </is>
      </c>
      <c r="H53" s="4" t="inlineStr">
        <is>
          <t>方块</t>
        </is>
      </c>
      <c r="I53" s="4" t="n">
        <v>95</v>
      </c>
      <c r="J53" s="4" t="inlineStr">
        <is>
          <t>否</t>
        </is>
      </c>
      <c r="K53" s="4" t="inlineStr">
        <is>
          <t>♠A</t>
        </is>
      </c>
      <c r="L53" s="4" t="inlineStr">
        <is>
          <t>+6</t>
        </is>
      </c>
      <c r="M53" s="4" t="n">
        <v>0</v>
      </c>
      <c r="N53" s="4" t="n">
        <v>7</v>
      </c>
      <c r="O53" s="4" t="n">
        <v>385</v>
      </c>
      <c r="P53" s="4" t="inlineStr">
        <is>
          <t>上台过7（需守庄）</t>
        </is>
      </c>
    </row>
    <row r="54">
      <c r="A54" s="5" t="n">
        <v>50</v>
      </c>
      <c r="B54" s="5" t="inlineStr">
        <is>
          <t>玩2</t>
        </is>
      </c>
      <c r="C54" s="5" t="n">
        <v>7</v>
      </c>
      <c r="D54" s="5" t="n">
        <v>385</v>
      </c>
      <c r="E54" s="5" t="n">
        <v>7</v>
      </c>
      <c r="F54" s="5" t="inlineStr">
        <is>
          <t>底牌首张</t>
        </is>
      </c>
      <c r="G54" s="5" t="inlineStr">
        <is>
          <t>底牌首张定主</t>
        </is>
      </c>
      <c r="H54" s="5" t="inlineStr">
        <is>
          <t>黑桃</t>
        </is>
      </c>
      <c r="I54" s="5" t="n">
        <v>100</v>
      </c>
      <c r="J54" s="5" t="inlineStr">
        <is>
          <t>否</t>
        </is>
      </c>
      <c r="K54" s="5" t="inlineStr">
        <is>
          <t>♦A</t>
        </is>
      </c>
      <c r="L54" s="5" t="inlineStr">
        <is>
          <t>+6</t>
        </is>
      </c>
      <c r="M54" s="5" t="n">
        <v>0</v>
      </c>
      <c r="N54" s="5" t="n">
        <v>7</v>
      </c>
      <c r="O54" s="5" t="n">
        <v>391</v>
      </c>
      <c r="P54" s="5" t="inlineStr">
        <is>
          <t>上台过7（需守庄）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═══ 第1局 ─ 上台过7（需守庄） ═══</t>
        </is>
      </c>
    </row>
    <row r="2">
      <c r="A2" s="7" t="inlineStr">
        <is>
          <t>庄家</t>
        </is>
      </c>
      <c r="C2" t="inlineStr">
        <is>
          <t>玩家1</t>
        </is>
      </c>
    </row>
    <row r="3">
      <c r="A3" s="7" t="inlineStr">
        <is>
          <t>庄家方级牌</t>
        </is>
      </c>
      <c r="C3" t="inlineStr">
        <is>
          <t>7</t>
        </is>
      </c>
    </row>
    <row r="4">
      <c r="A4" s="7" t="inlineStr">
        <is>
          <t>抓分方级牌</t>
        </is>
      </c>
      <c r="C4" t="inlineStr">
        <is>
          <t>7</t>
        </is>
      </c>
    </row>
    <row r="5">
      <c r="A5" s="7" t="inlineStr">
        <is>
          <t>本局级牌</t>
        </is>
      </c>
      <c r="C5" t="inlineStr">
        <is>
          <t>7</t>
        </is>
      </c>
    </row>
    <row r="6">
      <c r="A6" s="7" t="inlineStr">
        <is>
          <t>庄家阵营</t>
        </is>
      </c>
      <c r="C6" t="inlineStr">
        <is>
          <t>玩家1、玩家3</t>
        </is>
      </c>
    </row>
    <row r="7">
      <c r="A7" s="7" t="inlineStr">
        <is>
          <t>抓分阵营</t>
        </is>
      </c>
      <c r="C7" t="inlineStr">
        <is>
          <t>玩家2、玩家4</t>
        </is>
      </c>
    </row>
    <row r="8">
      <c r="A8" s="7" t="inlineStr">
        <is>
          <t>定主方式</t>
        </is>
      </c>
      <c r="C8" t="inlineStr">
        <is>
          <t>bottom_card</t>
        </is>
      </c>
    </row>
    <row r="9">
      <c r="A9" s="7" t="inlineStr">
        <is>
          <t>主花色</t>
        </is>
      </c>
      <c r="C9" t="inlineStr">
        <is>
          <t>黑桃</t>
        </is>
      </c>
    </row>
    <row r="10">
      <c r="A10" s="8" t="inlineStr">
        <is>
          <t>📋 初始手牌</t>
        </is>
      </c>
    </row>
    <row r="11">
      <c r="A11" t="inlineStr">
        <is>
          <t>玩家1</t>
        </is>
      </c>
      <c r="B11" t="inlineStr">
        <is>
          <t>♦3 ♥Q ♦5 ♣2 ♠Q ♠5 ♥3 ♣A ♦K ♠9 ♥J ♥8</t>
        </is>
      </c>
    </row>
    <row r="12">
      <c r="A12" t="inlineStr">
        <is>
          <t>玩家2</t>
        </is>
      </c>
      <c r="B12" t="inlineStr">
        <is>
          <t>♣5 ♦4 ♣3 ♠8 ♠2 ♦J ♣7 ♦A ♦2 ♥9 ♥A ♣9</t>
        </is>
      </c>
    </row>
    <row r="13">
      <c r="A13" t="inlineStr">
        <is>
          <t>玩家3</t>
        </is>
      </c>
      <c r="B13" t="inlineStr">
        <is>
          <t>♣6 ♠4 ♣10 ♠3 ♣8 ♥K ♦7 ♦9 ♣4 ♥4 ♠7 ♠J</t>
        </is>
      </c>
    </row>
    <row r="14">
      <c r="A14" t="inlineStr">
        <is>
          <t>玩家4</t>
        </is>
      </c>
      <c r="B14" t="inlineStr">
        <is>
          <t>♦10 ♠A ♠6 ♥6 ♦8 ♦6 ♣Q 小王 ♣J ♦Q ♥10 ♥2</t>
        </is>
      </c>
    </row>
    <row r="15">
      <c r="A15" s="8" t="inlineStr">
        <is>
          <t>📦 底牌信息</t>
        </is>
      </c>
    </row>
    <row r="16">
      <c r="A16" t="inlineStr">
        <is>
          <t>初始底牌</t>
        </is>
      </c>
      <c r="B16" t="inlineStr">
        <is>
          <t>♠K ♥7 大王 ♣K ♠10 ♥5</t>
        </is>
      </c>
    </row>
    <row r="17">
      <c r="A17" t="inlineStr">
        <is>
          <t>庄家埋入</t>
        </is>
      </c>
      <c r="B17" t="inlineStr">
        <is>
          <t>♦3 ♥8 ♠9 ♥J ♥Q</t>
        </is>
      </c>
      <c r="D17" t="inlineStr">
        <is>
          <t>♥5 ♦3 ♥8 ♠9 ♥J ♥Q</t>
        </is>
      </c>
      <c r="E17" t="inlineStr">
        <is>
          <t>分值=5</t>
        </is>
      </c>
    </row>
    <row r="18">
      <c r="A18" s="8" t="inlineStr">
        <is>
          <t>📝 操作日志</t>
        </is>
      </c>
    </row>
    <row r="19">
      <c r="A19">
        <f>== 第1局 ===</f>
        <v/>
      </c>
    </row>
    <row r="20">
      <c r="A20" t="inlineStr">
        <is>
          <t>庄家方级牌=7, 抓分方级牌=7, 庄家=玩家1</t>
        </is>
      </c>
    </row>
    <row r="21">
      <c r="A21" t="inlineStr">
        <is>
          <t>庄家阵营: 玩1、玩3 | 抓分阵营: 玩2、玩4</t>
        </is>
      </c>
    </row>
    <row r="22">
      <c r="A22" t="inlineStr">
        <is>
          <t>发牌完成 | 底牌: ♠K ♥7 大王 ♣K ♠10 ♥5</t>
        </is>
      </c>
    </row>
    <row r="23">
      <c r="A23" t="inlineStr">
        <is>
          <t>【底牌首张定主】♠K → 主=黑桃</t>
        </is>
      </c>
    </row>
    <row r="24">
      <c r="A24" t="inlineStr">
        <is>
          <t>【埋底】庄家（玩1）埋 ♦3 ♥8 ♠9 ♥J ♥Q, 取回 ♠K ♥7 大王 ♣K ♠10</t>
        </is>
      </c>
    </row>
    <row r="25">
      <c r="A25" t="inlineStr">
        <is>
          <t xml:space="preserve">  埋底后底牌: ♥5 ♦3 ♥8 ♠9 ♥J ♥Q (分值=5)</t>
        </is>
      </c>
    </row>
    <row r="26">
      <c r="A26" t="inlineStr">
        <is>
          <t>第1圈 [单张]: 玩1首出 → [玩1:♥7 | 玩2:♥9 | 玩3:♥4 | 玩4:♥2] → 赢: 玩4(♥2) 分=0</t>
        </is>
      </c>
    </row>
    <row r="27">
      <c r="A27" t="inlineStr">
        <is>
          <t>第2圈 [对子]: 玩4首出 → [玩4:♣Q ♦Q | 玩1:♣2 ♣K | 玩2:♣3 ♣5 | 玩3:♣4 ♣6] → 赢: 玩1(♣2) 分=15</t>
        </is>
      </c>
    </row>
    <row r="28">
      <c r="A28" t="inlineStr">
        <is>
          <t>第3圈 [单张]: 玩1首出 → [玩1:♠Q | 玩2:♠2 | 玩3:♠3 | 玩4:♠6] → 赢: 玩2(♠2) 分=0</t>
        </is>
      </c>
    </row>
    <row r="29">
      <c r="A29" t="inlineStr">
        <is>
          <t>第4圈 [对子]: 玩2首出 → [玩2:♦A ♥A | 玩3:♦7 ♦9 | 玩4:♦6 ♦8 | 玩1:♦5 ♦K] → 赢: 玩2(♦A) 分=15</t>
        </is>
      </c>
    </row>
    <row r="30">
      <c r="A30" t="inlineStr">
        <is>
          <t>第5圈 [单张]: 玩2首出 → [玩2:♦4 | 玩3:♠4 | 玩4:♦10 | 玩1:♥3] → 赢: 玩1(♥3) 分=10</t>
        </is>
      </c>
    </row>
    <row r="31">
      <c r="A31" t="inlineStr">
        <is>
          <t>第6圈 [单张]: 玩1首出 → [玩1:♣A | 玩2:♣7 | 玩3:♣8 | 玩4:♣J] → 赢: 玩1(♣A) 分=0</t>
        </is>
      </c>
    </row>
    <row r="32">
      <c r="A32" t="inlineStr">
        <is>
          <t>第7圈 [单张]: 玩1首出 → [玩1:大王 | 玩2:♠8 | 玩3:♠7 | 玩4:小王] → 赢: 玩1(大王) 分=0</t>
        </is>
      </c>
    </row>
    <row r="33">
      <c r="A33" t="inlineStr">
        <is>
          <t>第8圈 [单张]: 玩1首出 → [玩1:♠5 | 玩2:♦2 | 玩3:♠J | 玩4:♠A] → 赢: 玩2(♦2) 分=5</t>
        </is>
      </c>
    </row>
    <row r="34">
      <c r="A34" t="inlineStr">
        <is>
          <t>第9圈 [单张]: 玩2首出 → [玩2:♣9 | 玩3:♣10 | 玩4:♥6 | 玩1:♠10] → 赢: 玩3(♣10) 分=20</t>
        </is>
      </c>
    </row>
    <row r="35">
      <c r="A35" t="inlineStr">
        <is>
          <t>第10圈 [单张]: 玩3首出 → [玩3:♥K | 玩4:♥10 | 玩1:♠K | 玩2:♦J] → 赢: 玩3(♥K) 分=30</t>
        </is>
      </c>
    </row>
    <row r="36">
      <c r="A36" t="inlineStr">
        <is>
          <t>抓分方总分=95</t>
        </is>
      </c>
    </row>
    <row r="37">
      <c r="A37" t="inlineStr">
        <is>
          <t>结算: 抓分=95 扣底=否 庄方+0 抓方+6</t>
        </is>
      </c>
    </row>
    <row r="38">
      <c r="A38" t="inlineStr">
        <is>
          <t>级牌: 庄方 7→7 | 抓方 7→13</t>
        </is>
      </c>
    </row>
    <row r="39">
      <c r="A39" t="inlineStr">
        <is>
          <t>⚠️ 抓分方 13 &gt; 7，强制停在7，获得庄权，需再守庄一局</t>
        </is>
      </c>
    </row>
    <row r="40">
      <c r="A40" t="inlineStr">
        <is>
          <t>庄家变更: → 玩2</t>
        </is>
      </c>
    </row>
    <row r="41">
      <c r="A41" t="inlineStr">
        <is>
          <t>级牌重置: 庄家方=7 抓分方=7</t>
        </is>
      </c>
    </row>
    <row r="42">
      <c r="A42" t="inlineStr">
        <is>
          <t>第1局结束 | 庄家方=7 抓分方=7</t>
        </is>
      </c>
    </row>
    <row r="43">
      <c r="A43" s="8" t="inlineStr">
        <is>
          <t>📊 结算</t>
        </is>
      </c>
    </row>
    <row r="44">
      <c r="A44" s="9" t="inlineStr">
        <is>
          <t>抓分方得分</t>
        </is>
      </c>
      <c r="C44" t="inlineStr">
        <is>
          <t>95</t>
        </is>
      </c>
    </row>
    <row r="45">
      <c r="A45" s="9" t="inlineStr">
        <is>
          <t>是否扣底</t>
        </is>
      </c>
      <c r="C45" t="inlineStr">
        <is>
          <t>否</t>
        </is>
      </c>
    </row>
    <row r="46">
      <c r="A46" s="9" t="inlineStr">
        <is>
          <t>扣底牌</t>
        </is>
      </c>
      <c r="C46" t="inlineStr">
        <is>
          <t>♥K</t>
        </is>
      </c>
    </row>
    <row r="47">
      <c r="A47" s="9" t="inlineStr">
        <is>
          <t>基础升级 抓方</t>
        </is>
      </c>
      <c r="C47" t="inlineStr">
        <is>
          <t>+6</t>
        </is>
      </c>
    </row>
    <row r="48">
      <c r="A48" s="9" t="inlineStr">
        <is>
          <t>扣底加成</t>
        </is>
      </c>
      <c r="C48" t="inlineStr">
        <is>
          <t>无</t>
        </is>
      </c>
    </row>
    <row r="49">
      <c r="A49" s="9" t="inlineStr">
        <is>
          <t>总升级 抓方</t>
        </is>
      </c>
      <c r="C49" t="inlineStr">
        <is>
          <t>+6</t>
        </is>
      </c>
    </row>
    <row r="50">
      <c r="A50" s="9" t="inlineStr">
        <is>
          <t>总升级 庄方</t>
        </is>
      </c>
      <c r="C50" t="inlineStr">
        <is>
          <t>+0</t>
        </is>
      </c>
    </row>
    <row r="51">
      <c r="A51" s="9" t="inlineStr">
        <is>
          <t>结果</t>
        </is>
      </c>
      <c r="C51" t="inlineStr">
        <is>
          <t>上台过7（需守庄）</t>
        </is>
      </c>
    </row>
    <row r="54">
      <c r="A54" s="6" t="inlineStr">
        <is>
          <t>═══ 第2局 ─ 上台过7（需守庄） ═══</t>
        </is>
      </c>
    </row>
    <row r="55">
      <c r="A55" s="7" t="inlineStr">
        <is>
          <t>庄家</t>
        </is>
      </c>
      <c r="C55" t="inlineStr">
        <is>
          <t>玩家2</t>
        </is>
      </c>
    </row>
    <row r="56">
      <c r="A56" s="7" t="inlineStr">
        <is>
          <t>庄家方级牌</t>
        </is>
      </c>
      <c r="C56" t="inlineStr">
        <is>
          <t>7</t>
        </is>
      </c>
    </row>
    <row r="57">
      <c r="A57" s="7" t="inlineStr">
        <is>
          <t>抓分方级牌</t>
        </is>
      </c>
      <c r="C57" t="inlineStr">
        <is>
          <t>7</t>
        </is>
      </c>
    </row>
    <row r="58">
      <c r="A58" s="7" t="inlineStr">
        <is>
          <t>本局级牌</t>
        </is>
      </c>
      <c r="C58" t="inlineStr">
        <is>
          <t>7</t>
        </is>
      </c>
    </row>
    <row r="59">
      <c r="A59" s="7" t="inlineStr">
        <is>
          <t>庄家阵营</t>
        </is>
      </c>
      <c r="C59" t="inlineStr">
        <is>
          <t>玩家2、玩家4</t>
        </is>
      </c>
    </row>
    <row r="60">
      <c r="A60" s="7" t="inlineStr">
        <is>
          <t>抓分阵营</t>
        </is>
      </c>
      <c r="C60" t="inlineStr">
        <is>
          <t>玩家3、玩家1</t>
        </is>
      </c>
    </row>
    <row r="61">
      <c r="A61" s="7" t="inlineStr">
        <is>
          <t>定主方式</t>
        </is>
      </c>
      <c r="C61" t="inlineStr">
        <is>
          <t>bottom_card</t>
        </is>
      </c>
    </row>
    <row r="62">
      <c r="A62" s="7" t="inlineStr">
        <is>
          <t>主花色</t>
        </is>
      </c>
      <c r="C62" t="inlineStr">
        <is>
          <t>黑桃</t>
        </is>
      </c>
    </row>
    <row r="63">
      <c r="A63" s="8" t="inlineStr">
        <is>
          <t>📋 初始手牌</t>
        </is>
      </c>
    </row>
    <row r="64">
      <c r="A64" t="inlineStr">
        <is>
          <t>玩家1</t>
        </is>
      </c>
      <c r="B64" t="inlineStr">
        <is>
          <t>♠8 ♦10 ♣A ♥A ♠10 ♣J ♦8 小王 ♥3 ♦4 ♠Q ♥7</t>
        </is>
      </c>
    </row>
    <row r="65">
      <c r="A65" t="inlineStr">
        <is>
          <t>玩家2</t>
        </is>
      </c>
      <c r="B65" t="inlineStr">
        <is>
          <t>♣4 ♥J ♦Q ♠6 ♠4 ♣Q ♦A ♦6 ♣6 ♣K ♥2 ♠5</t>
        </is>
      </c>
    </row>
    <row r="66">
      <c r="A66" t="inlineStr">
        <is>
          <t>玩家3</t>
        </is>
      </c>
      <c r="B66" t="inlineStr">
        <is>
          <t>♣8 ♠3 ♥Q ♥5 ♠K ♦J ♥4 ♣9 ♦7 大王 ♦2 ♥6</t>
        </is>
      </c>
    </row>
    <row r="67">
      <c r="A67" t="inlineStr">
        <is>
          <t>玩家4</t>
        </is>
      </c>
      <c r="B67" t="inlineStr">
        <is>
          <t>♥K ♦3 ♣5 ♥10 ♦9 ♠7 ♠2 ♠J ♣10 ♥8 ♦5 ♣2</t>
        </is>
      </c>
    </row>
    <row r="68">
      <c r="A68" s="8" t="inlineStr">
        <is>
          <t>📦 底牌信息</t>
        </is>
      </c>
    </row>
    <row r="69">
      <c r="A69" t="inlineStr">
        <is>
          <t>初始底牌</t>
        </is>
      </c>
      <c r="B69" t="inlineStr">
        <is>
          <t>♠A ♣7 ♠9 ♥9 ♦K ♣3</t>
        </is>
      </c>
    </row>
    <row r="70">
      <c r="A70" t="inlineStr">
        <is>
          <t>庄家埋入</t>
        </is>
      </c>
      <c r="B70" t="inlineStr">
        <is>
          <t>♣4 ♠4 ♠6 ♦6 ♣6</t>
        </is>
      </c>
      <c r="D70" t="inlineStr">
        <is>
          <t>♣3 ♣4 ♠4 ♠6 ♦6 ♣6</t>
        </is>
      </c>
      <c r="E70" t="inlineStr">
        <is>
          <t>分值=0</t>
        </is>
      </c>
    </row>
    <row r="71">
      <c r="A71" s="8" t="inlineStr">
        <is>
          <t>📝 操作日志</t>
        </is>
      </c>
    </row>
    <row r="72">
      <c r="A72">
        <f>== 第2局 ===</f>
        <v/>
      </c>
    </row>
    <row r="73">
      <c r="A73" t="inlineStr">
        <is>
          <t>庄家方级牌=7, 抓分方级牌=7, 庄家=玩家2</t>
        </is>
      </c>
    </row>
    <row r="74">
      <c r="A74" t="inlineStr">
        <is>
          <t>庄家阵营: 玩2、玩4 | 抓分阵营: 玩3、玩1</t>
        </is>
      </c>
    </row>
    <row r="75">
      <c r="A75" t="inlineStr">
        <is>
          <t>发牌完成 | 底牌: ♠A ♣7 ♠9 ♥9 ♦K ♣3</t>
        </is>
      </c>
    </row>
    <row r="76">
      <c r="A76" t="inlineStr">
        <is>
          <t>【底牌首张定主】♠A → 主=黑桃</t>
        </is>
      </c>
    </row>
    <row r="77">
      <c r="A77" t="inlineStr">
        <is>
          <t>【埋底】庄家（玩2）埋 ♣4 ♠4 ♠6 ♦6 ♣6, 取回 ♠A ♣7 ♠9 ♥9 ♦K</t>
        </is>
      </c>
    </row>
    <row r="78">
      <c r="A78" t="inlineStr">
        <is>
          <t xml:space="preserve">  埋底后底牌: ♣3 ♣4 ♠4 ♠6 ♦6 ♣6 (分值=0)</t>
        </is>
      </c>
    </row>
    <row r="79">
      <c r="A79" t="inlineStr">
        <is>
          <t>第1圈 [对子]: 玩2首出 → [玩2:♦Q ♣Q | 玩3:♦2 ♦7 | 玩4:♦3 ♦5 | 玩1:♦4 ♦8] → 赢: 玩3(♦2) 分=5</t>
        </is>
      </c>
    </row>
    <row r="80">
      <c r="A80" t="inlineStr">
        <is>
          <t>第2圈 [单张]: 玩3首出 → [玩3:♠3 | 玩4:♠2 | 玩1:♠8 | 玩2:♠9] → 赢: 玩4(♠2) 分=0</t>
        </is>
      </c>
    </row>
    <row r="81">
      <c r="A81" t="inlineStr">
        <is>
          <t>第3圈 [单张]: 玩4首出 → [玩4:♠7 | 玩1:♠Q | 玩2:♠A | 玩3:♠K] → 赢: 玩2(♠A) 分=10</t>
        </is>
      </c>
    </row>
    <row r="82">
      <c r="A82" t="inlineStr">
        <is>
          <t>第4圈 [单张]: 玩2首出 → [玩2:♣7 | 玩3:♣8 | 玩4:♣2 | 玩1:♣J] → 赢: 玩4(♣2) 分=0</t>
        </is>
      </c>
    </row>
    <row r="83">
      <c r="A83" t="inlineStr">
        <is>
          <t>第5圈 [单张]: 玩4首出 → [玩4:♥8 | 玩1:♥3 | 玩2:♥2 | 玩3:♥4] → 赢: 玩1(♥3) 分=0</t>
        </is>
      </c>
    </row>
    <row r="84">
      <c r="A84" t="inlineStr">
        <is>
          <t>第6圈 [对子]: 玩1首出 → [玩1:♣A ♥A | 玩2:♠5 ♥9 | 玩3:大王 | 玩4:♣5 ♣10] → 赢: 玩3(大王) 分=20</t>
        </is>
      </c>
    </row>
    <row r="85">
      <c r="A85" t="inlineStr">
        <is>
          <t>第7圈 [单张]: 玩3首出 → [玩3:♥6 | 玩4:♥10 | 玩1:♥7 | 玩2:♥J] → 赢: 玩2(♥J) 分=10</t>
        </is>
      </c>
    </row>
    <row r="86">
      <c r="A86" t="inlineStr">
        <is>
          <t>第8圈 [单张]: 玩2首出 → [玩2:♦A | 玩3:♦J | 玩4:♦9 | 玩1:♦10] → 赢: 玩2(♦A) 分=10</t>
        </is>
      </c>
    </row>
    <row r="87">
      <c r="A87" t="inlineStr">
        <is>
          <t>第9圈 [单张]: 玩2首出 → [玩2:♣K | 玩3:♣9 | 玩4:♠J | 玩1:小王] → 赢: 玩1(小王) 分=10</t>
        </is>
      </c>
    </row>
    <row r="88">
      <c r="A88" t="inlineStr">
        <is>
          <t>第10圈 [单张]: 玩1首出 → [玩1:♠10 | 玩2:♦K | 玩3:♥5 | 玩4:♥K] → 赢: 玩1(♠10) 分=35</t>
        </is>
      </c>
    </row>
    <row r="89">
      <c r="A89" t="inlineStr">
        <is>
          <t>第11圈 [单张]: 玩1首出 → [玩1:无 | 玩2:无 | 玩3:♥Q | 玩4:无] → 赢: 玩3(♥Q) 分=0</t>
        </is>
      </c>
    </row>
    <row r="90">
      <c r="A90" t="inlineStr">
        <is>
          <t>抓分方总分=100</t>
        </is>
      </c>
    </row>
    <row r="91">
      <c r="A91" t="inlineStr">
        <is>
          <t>结算: 抓分=100 扣底=是 庄方+0 抓方+9</t>
        </is>
      </c>
    </row>
    <row r="92">
      <c r="A92" t="inlineStr">
        <is>
          <t>级牌: 庄方 7→7 | 抓方 7→16</t>
        </is>
      </c>
    </row>
    <row r="93">
      <c r="A93" t="inlineStr">
        <is>
          <t>⚠️ 抓分方 16 &gt; 7，强制停在7，获得庄权，需再守庄一局</t>
        </is>
      </c>
    </row>
    <row r="94">
      <c r="A94" t="inlineStr">
        <is>
          <t>庄家变更: → 玩3</t>
        </is>
      </c>
    </row>
    <row r="95">
      <c r="A95" t="inlineStr">
        <is>
          <t>级牌重置: 庄家方=7 抓分方=7</t>
        </is>
      </c>
    </row>
    <row r="96">
      <c r="A96" t="inlineStr">
        <is>
          <t>守庄失败，对方上台继续</t>
        </is>
      </c>
    </row>
    <row r="97">
      <c r="A97" t="inlineStr">
        <is>
          <t>第2局结束 | 庄家方=7 抓分方=7</t>
        </is>
      </c>
    </row>
    <row r="98">
      <c r="A98" s="8" t="inlineStr">
        <is>
          <t>📊 结算</t>
        </is>
      </c>
    </row>
    <row r="99">
      <c r="A99" s="9" t="inlineStr">
        <is>
          <t>抓分方得分</t>
        </is>
      </c>
      <c r="C99" t="inlineStr">
        <is>
          <t>100</t>
        </is>
      </c>
    </row>
    <row r="100">
      <c r="A100" s="9" t="inlineStr">
        <is>
          <t>是否扣底</t>
        </is>
      </c>
      <c r="C100" t="inlineStr">
        <is>
          <t>是</t>
        </is>
      </c>
    </row>
    <row r="101">
      <c r="A101" s="9" t="inlineStr">
        <is>
          <t>扣底牌</t>
        </is>
      </c>
      <c r="C101" t="inlineStr">
        <is>
          <t>♥Q</t>
        </is>
      </c>
    </row>
    <row r="102">
      <c r="A102" s="9" t="inlineStr">
        <is>
          <t>基础升级 抓方</t>
        </is>
      </c>
      <c r="C102" t="inlineStr">
        <is>
          <t>+6</t>
        </is>
      </c>
    </row>
    <row r="103">
      <c r="A103" s="9" t="inlineStr">
        <is>
          <t>扣底加成</t>
        </is>
      </c>
      <c r="C103" t="inlineStr">
        <is>
          <t>+3</t>
        </is>
      </c>
    </row>
    <row r="104">
      <c r="A104" s="9" t="inlineStr">
        <is>
          <t>总升级 抓方</t>
        </is>
      </c>
      <c r="C104" t="inlineStr">
        <is>
          <t>+9</t>
        </is>
      </c>
    </row>
    <row r="105">
      <c r="A105" s="9" t="inlineStr">
        <is>
          <t>总升级 庄方</t>
        </is>
      </c>
      <c r="C105" t="inlineStr">
        <is>
          <t>+0</t>
        </is>
      </c>
    </row>
    <row r="106">
      <c r="A106" s="9" t="inlineStr">
        <is>
          <t>结果</t>
        </is>
      </c>
      <c r="C106" t="inlineStr">
        <is>
          <t>上台过7（需守庄）</t>
        </is>
      </c>
    </row>
    <row r="109">
      <c r="A109" s="6" t="inlineStr">
        <is>
          <t>═══ 第3局 ─ 上台过7（需守庄） ═══</t>
        </is>
      </c>
    </row>
    <row r="110">
      <c r="A110" s="7" t="inlineStr">
        <is>
          <t>庄家</t>
        </is>
      </c>
      <c r="C110" t="inlineStr">
        <is>
          <t>玩家3</t>
        </is>
      </c>
    </row>
    <row r="111">
      <c r="A111" s="7" t="inlineStr">
        <is>
          <t>庄家方级牌</t>
        </is>
      </c>
      <c r="C111" t="inlineStr">
        <is>
          <t>7</t>
        </is>
      </c>
    </row>
    <row r="112">
      <c r="A112" s="7" t="inlineStr">
        <is>
          <t>抓分方级牌</t>
        </is>
      </c>
      <c r="C112" t="inlineStr">
        <is>
          <t>7</t>
        </is>
      </c>
    </row>
    <row r="113">
      <c r="A113" s="7" t="inlineStr">
        <is>
          <t>本局级牌</t>
        </is>
      </c>
      <c r="C113" t="inlineStr">
        <is>
          <t>7</t>
        </is>
      </c>
    </row>
    <row r="114">
      <c r="A114" s="7" t="inlineStr">
        <is>
          <t>庄家阵营</t>
        </is>
      </c>
      <c r="C114" t="inlineStr">
        <is>
          <t>玩家3、玩家1</t>
        </is>
      </c>
    </row>
    <row r="115">
      <c r="A115" s="7" t="inlineStr">
        <is>
          <t>抓分阵营</t>
        </is>
      </c>
      <c r="C115" t="inlineStr">
        <is>
          <t>玩家4、玩家2</t>
        </is>
      </c>
    </row>
    <row r="116">
      <c r="A116" s="7" t="inlineStr">
        <is>
          <t>定主方式</t>
        </is>
      </c>
      <c r="C116" t="inlineStr">
        <is>
          <t>bottom_card</t>
        </is>
      </c>
    </row>
    <row r="117">
      <c r="A117" s="7" t="inlineStr">
        <is>
          <t>主花色</t>
        </is>
      </c>
      <c r="C117" t="inlineStr">
        <is>
          <t>黑桃</t>
        </is>
      </c>
    </row>
    <row r="118">
      <c r="A118" s="8" t="inlineStr">
        <is>
          <t>📋 初始手牌</t>
        </is>
      </c>
    </row>
    <row r="119">
      <c r="A119" t="inlineStr">
        <is>
          <t>玩家1</t>
        </is>
      </c>
      <c r="B119" t="inlineStr">
        <is>
          <t>♠3 大王 ♦3 ♦2 ♣7 ♦5 ♠5 ♣3 ♠9 ♥8 ♠A ♠Q</t>
        </is>
      </c>
    </row>
    <row r="120">
      <c r="A120" t="inlineStr">
        <is>
          <t>玩家2</t>
        </is>
      </c>
      <c r="B120" t="inlineStr">
        <is>
          <t>♦K ♠J ♣8 ♦8 ♥7 ♣4 ♣A ♥5 ♦9 ♦A ♥Q ♥A</t>
        </is>
      </c>
    </row>
    <row r="121">
      <c r="A121" t="inlineStr">
        <is>
          <t>玩家3</t>
        </is>
      </c>
      <c r="B121" t="inlineStr">
        <is>
          <t>♦10 ♣5 ♣2 ♦4 ♣Q ♥2 ♠2 ♥3 ♣K ♣9 ♦6 ♣J</t>
        </is>
      </c>
    </row>
    <row r="122">
      <c r="A122" t="inlineStr">
        <is>
          <t>玩家4</t>
        </is>
      </c>
      <c r="B122" t="inlineStr">
        <is>
          <t>♥4 ♠4 ♥6 ♦Q ♦7 ♠8 ♣6 ♥K ♣10 ♠6 ♦J ♥10</t>
        </is>
      </c>
    </row>
    <row r="123">
      <c r="A123" s="8" t="inlineStr">
        <is>
          <t>📦 底牌信息</t>
        </is>
      </c>
    </row>
    <row r="124">
      <c r="A124" t="inlineStr">
        <is>
          <t>初始底牌</t>
        </is>
      </c>
      <c r="B124" t="inlineStr">
        <is>
          <t>♠10 ♥9 小王 ♠K ♥J ♠7</t>
        </is>
      </c>
    </row>
    <row r="125">
      <c r="A125" t="inlineStr">
        <is>
          <t>庄家埋入</t>
        </is>
      </c>
      <c r="B125" t="inlineStr">
        <is>
          <t>♦4 ♦6 ♣9 ♣J</t>
        </is>
      </c>
      <c r="D125" t="inlineStr">
        <is>
          <t>♥J ♠7 ♦4 ♦6 ♣9 ♣J</t>
        </is>
      </c>
      <c r="E125" t="inlineStr">
        <is>
          <t>分值=0</t>
        </is>
      </c>
    </row>
    <row r="126">
      <c r="A126" s="8" t="inlineStr">
        <is>
          <t>📝 操作日志</t>
        </is>
      </c>
    </row>
    <row r="127">
      <c r="A127">
        <f>== 第3局 ===</f>
        <v/>
      </c>
    </row>
    <row r="128">
      <c r="A128" t="inlineStr">
        <is>
          <t>庄家方级牌=7, 抓分方级牌=7, 庄家=玩家3</t>
        </is>
      </c>
    </row>
    <row r="129">
      <c r="A129" t="inlineStr">
        <is>
          <t>庄家阵营: 玩3、玩1 | 抓分阵营: 玩4、玩2</t>
        </is>
      </c>
    </row>
    <row r="130">
      <c r="A130" t="inlineStr">
        <is>
          <t>发牌完成 | 底牌: ♠10 ♥9 小王 ♠K ♥J ♠7</t>
        </is>
      </c>
    </row>
    <row r="131">
      <c r="A131" t="inlineStr">
        <is>
          <t>【底牌首张定主】♠10 → 主=黑桃</t>
        </is>
      </c>
    </row>
    <row r="132">
      <c r="A132" t="inlineStr">
        <is>
          <t>【埋底】庄家（玩3）埋 ♦4 ♦6 ♣9 ♣J, 取回 ♠10 ♥9 小王 ♠K</t>
        </is>
      </c>
    </row>
    <row r="133">
      <c r="A133" t="inlineStr">
        <is>
          <t xml:space="preserve">  埋底后底牌: ♥J ♠7 ♦4 ♦6 ♣9 ♣J (分值=0)</t>
        </is>
      </c>
    </row>
    <row r="134">
      <c r="A134" t="inlineStr">
        <is>
          <t>第1圈 [对子]: 玩3首出 → [玩3:♣2 ♥2 | 玩4:♣6 ♣10 | 玩1:♣3 ♣7 | 玩2:♣4 ♣8] → 赢: 玩3(♥2) 分=10</t>
        </is>
      </c>
    </row>
    <row r="135">
      <c r="A135" t="inlineStr">
        <is>
          <t>第2圈 [单张]: 玩3首出 → [玩3:♥9 | 玩4:♥4 | 玩1:♥8 | 玩2:♥7] → 赢: 玩3(♥9) 分=0</t>
        </is>
      </c>
    </row>
    <row r="136">
      <c r="A136" t="inlineStr">
        <is>
          <t>第3圈 [单张]: 玩3首出 → [玩3:♣Q | 玩4:♠4 | 玩1:♠3 | 玩2:♣A] → 赢: 玩2(♣A) 分=0</t>
        </is>
      </c>
    </row>
    <row r="137">
      <c r="A137" t="inlineStr">
        <is>
          <t>第4圈 [对子]: 玩2首出 → [玩2:♦A ♥A | 玩3:♣5 ♦10 | 玩4:♦7 ♦J | 玩1:♦2 ♦3] → 赢: 玩1(♦2) 分=15</t>
        </is>
      </c>
    </row>
    <row r="138">
      <c r="A138" t="inlineStr">
        <is>
          <t>第5圈 [单张]: 玩1首出 → [玩1:♠9 | 玩2:♠J | 玩3:♠2 | 玩4:♠6] → 赢: 玩3(♠2) 分=0</t>
        </is>
      </c>
    </row>
    <row r="139">
      <c r="A139" t="inlineStr">
        <is>
          <t>第6圈 [单张]: 玩3首出 → [玩3:小王 | 玩4:♥6 | 玩1:大王 | 玩2:♥5] → 赢: 玩1(大王) 分=5</t>
        </is>
      </c>
    </row>
    <row r="140">
      <c r="A140" t="inlineStr">
        <is>
          <t>第7圈 [单张]: 玩1首出 → [玩1:♠Q | 玩2:♦8 | 玩3:♠10 | 玩4:♠8] → 赢: 玩1(♠Q) 分=10</t>
        </is>
      </c>
    </row>
    <row r="141">
      <c r="A141" t="inlineStr">
        <is>
          <t>第8圈 [单张]: 玩1首出 → [玩1:♠A | 玩2:♦9 | 玩3:♠K | 玩4:♥10] → 赢: 玩1(♠A) 分=20</t>
        </is>
      </c>
    </row>
    <row r="142">
      <c r="A142" t="inlineStr">
        <is>
          <t>第9圈 [单张]: 玩1首出 → [玩1:♦5 | 玩2:♦K | 玩3:♥3 | 玩4:♦Q] → 赢: 玩3(♥3) 分=15</t>
        </is>
      </c>
    </row>
    <row r="143">
      <c r="A143" t="inlineStr">
        <is>
          <t>第10圈 [单张]: 玩3首出 → [玩3:♣K | 玩4:♥K | 玩1:♠5 | 玩2:♥Q] → 赢: 玩3(♣K) 分=25</t>
        </is>
      </c>
    </row>
    <row r="144">
      <c r="A144" t="inlineStr">
        <is>
          <t>抓分方总分=100</t>
        </is>
      </c>
    </row>
    <row r="145">
      <c r="A145" t="inlineStr">
        <is>
          <t>结算: 抓分=100 扣底=否 庄方+0 抓方+6</t>
        </is>
      </c>
    </row>
    <row r="146">
      <c r="A146" t="inlineStr">
        <is>
          <t>级牌: 庄方 7→7 | 抓方 7→13</t>
        </is>
      </c>
    </row>
    <row r="147">
      <c r="A147" t="inlineStr">
        <is>
          <t>⚠️ 抓分方 13 &gt; 7，强制停在7，获得庄权，需再守庄一局</t>
        </is>
      </c>
    </row>
    <row r="148">
      <c r="A148" t="inlineStr">
        <is>
          <t>庄家变更: → 玩4</t>
        </is>
      </c>
    </row>
    <row r="149">
      <c r="A149" t="inlineStr">
        <is>
          <t>级牌重置: 庄家方=7 抓分方=7</t>
        </is>
      </c>
    </row>
    <row r="150">
      <c r="A150" t="inlineStr">
        <is>
          <t>守庄失败，对方上台继续</t>
        </is>
      </c>
    </row>
    <row r="151">
      <c r="A151" t="inlineStr">
        <is>
          <t>第3局结束 | 庄家方=7 抓分方=7</t>
        </is>
      </c>
    </row>
    <row r="152">
      <c r="A152" s="8" t="inlineStr">
        <is>
          <t>📊 结算</t>
        </is>
      </c>
    </row>
    <row r="153">
      <c r="A153" s="9" t="inlineStr">
        <is>
          <t>抓分方得分</t>
        </is>
      </c>
      <c r="C153" t="inlineStr">
        <is>
          <t>100</t>
        </is>
      </c>
    </row>
    <row r="154">
      <c r="A154" s="9" t="inlineStr">
        <is>
          <t>是否扣底</t>
        </is>
      </c>
      <c r="C154" t="inlineStr">
        <is>
          <t>否</t>
        </is>
      </c>
    </row>
    <row r="155">
      <c r="A155" s="9" t="inlineStr">
        <is>
          <t>扣底牌</t>
        </is>
      </c>
      <c r="C155" t="inlineStr">
        <is>
          <t>♣K</t>
        </is>
      </c>
    </row>
    <row r="156">
      <c r="A156" s="9" t="inlineStr">
        <is>
          <t>基础升级 抓方</t>
        </is>
      </c>
      <c r="C156" t="inlineStr">
        <is>
          <t>+6</t>
        </is>
      </c>
    </row>
    <row r="157">
      <c r="A157" s="9" t="inlineStr">
        <is>
          <t>扣底加成</t>
        </is>
      </c>
      <c r="C157" t="inlineStr">
        <is>
          <t>无</t>
        </is>
      </c>
    </row>
    <row r="158">
      <c r="A158" s="9" t="inlineStr">
        <is>
          <t>总升级 抓方</t>
        </is>
      </c>
      <c r="C158" t="inlineStr">
        <is>
          <t>+6</t>
        </is>
      </c>
    </row>
    <row r="159">
      <c r="A159" s="9" t="inlineStr">
        <is>
          <t>总升级 庄方</t>
        </is>
      </c>
      <c r="C159" t="inlineStr">
        <is>
          <t>+0</t>
        </is>
      </c>
    </row>
    <row r="160">
      <c r="A160" s="9" t="inlineStr">
        <is>
          <t>结果</t>
        </is>
      </c>
      <c r="C160" t="inlineStr">
        <is>
          <t>上台过7（需守庄）</t>
        </is>
      </c>
    </row>
    <row r="163">
      <c r="A163" s="6" t="inlineStr">
        <is>
          <t>═══ 第4局 ─ 上台过7（需守庄） ═══</t>
        </is>
      </c>
    </row>
    <row r="164">
      <c r="A164" s="7" t="inlineStr">
        <is>
          <t>庄家</t>
        </is>
      </c>
      <c r="C164" t="inlineStr">
        <is>
          <t>玩家4</t>
        </is>
      </c>
    </row>
    <row r="165">
      <c r="A165" s="7" t="inlineStr">
        <is>
          <t>庄家方级牌</t>
        </is>
      </c>
      <c r="C165" t="inlineStr">
        <is>
          <t>7</t>
        </is>
      </c>
    </row>
    <row r="166">
      <c r="A166" s="7" t="inlineStr">
        <is>
          <t>抓分方级牌</t>
        </is>
      </c>
      <c r="C166" t="inlineStr">
        <is>
          <t>7</t>
        </is>
      </c>
    </row>
    <row r="167">
      <c r="A167" s="7" t="inlineStr">
        <is>
          <t>本局级牌</t>
        </is>
      </c>
      <c r="C167" t="inlineStr">
        <is>
          <t>7</t>
        </is>
      </c>
    </row>
    <row r="168">
      <c r="A168" s="7" t="inlineStr">
        <is>
          <t>庄家阵营</t>
        </is>
      </c>
      <c r="C168" t="inlineStr">
        <is>
          <t>玩家4、玩家2</t>
        </is>
      </c>
    </row>
    <row r="169">
      <c r="A169" s="7" t="inlineStr">
        <is>
          <t>抓分阵营</t>
        </is>
      </c>
      <c r="C169" t="inlineStr">
        <is>
          <t>玩家1、玩家3</t>
        </is>
      </c>
    </row>
    <row r="170">
      <c r="A170" s="7" t="inlineStr">
        <is>
          <t>定主方式</t>
        </is>
      </c>
      <c r="C170" t="inlineStr">
        <is>
          <t>bottom_card</t>
        </is>
      </c>
    </row>
    <row r="171">
      <c r="A171" s="7" t="inlineStr">
        <is>
          <t>主花色</t>
        </is>
      </c>
      <c r="C171" t="inlineStr">
        <is>
          <t>草花</t>
        </is>
      </c>
    </row>
    <row r="172">
      <c r="A172" s="8" t="inlineStr">
        <is>
          <t>📋 初始手牌</t>
        </is>
      </c>
    </row>
    <row r="173">
      <c r="A173" t="inlineStr">
        <is>
          <t>玩家1</t>
        </is>
      </c>
      <c r="B173" t="inlineStr">
        <is>
          <t>♠10 ♠8 ♣K ♠9 ♥Q ♠J ♠3 ♦3 ♠5 ♠2 ♦5 ♣J</t>
        </is>
      </c>
    </row>
    <row r="174">
      <c r="A174" t="inlineStr">
        <is>
          <t>玩家2</t>
        </is>
      </c>
      <c r="B174" t="inlineStr">
        <is>
          <t>♥8 ♥10 ♣10 ♥5 ♣9 ♦K ♦10 ♣7 ♠6 ♥A ♥6 ♦2</t>
        </is>
      </c>
    </row>
    <row r="175">
      <c r="A175" t="inlineStr">
        <is>
          <t>玩家3</t>
        </is>
      </c>
      <c r="B175" t="inlineStr">
        <is>
          <t>♣5 ♥J ♦Q ♥3 ♣2 ♥K ♣3 ♥4 ♣8 ♣4 ♠A 大王</t>
        </is>
      </c>
    </row>
    <row r="176">
      <c r="A176" t="inlineStr">
        <is>
          <t>玩家4</t>
        </is>
      </c>
      <c r="B176" t="inlineStr">
        <is>
          <t>♦8 ♠7 ♦6 ♣A ♦4 ♣6 ♦J ♠Q ♥7 小王 ♦9 ♠4</t>
        </is>
      </c>
    </row>
    <row r="177">
      <c r="A177" s="8" t="inlineStr">
        <is>
          <t>📦 底牌信息</t>
        </is>
      </c>
    </row>
    <row r="178">
      <c r="A178" t="inlineStr">
        <is>
          <t>初始底牌</t>
        </is>
      </c>
      <c r="B178" t="inlineStr">
        <is>
          <t>♣Q ♠K ♦A ♥2 ♥9 ♦7</t>
        </is>
      </c>
    </row>
    <row r="179">
      <c r="A179" t="inlineStr">
        <is>
          <t>庄家埋入</t>
        </is>
      </c>
      <c r="B179" t="inlineStr">
        <is>
          <t>♦4 ♠4</t>
        </is>
      </c>
      <c r="D179" t="inlineStr">
        <is>
          <t>♦A ♥2 ♥9 ♦7 ♦4 ♠4</t>
        </is>
      </c>
      <c r="E179" t="inlineStr">
        <is>
          <t>分值=0</t>
        </is>
      </c>
    </row>
    <row r="180">
      <c r="A180" s="8" t="inlineStr">
        <is>
          <t>📝 操作日志</t>
        </is>
      </c>
    </row>
    <row r="181">
      <c r="A181">
        <f>== 第4局 ===</f>
        <v/>
      </c>
    </row>
    <row r="182">
      <c r="A182" t="inlineStr">
        <is>
          <t>庄家方级牌=7, 抓分方级牌=7, 庄家=玩家4</t>
        </is>
      </c>
    </row>
    <row r="183">
      <c r="A183" t="inlineStr">
        <is>
          <t>庄家阵营: 玩4、玩2 | 抓分阵营: 玩1、玩3</t>
        </is>
      </c>
    </row>
    <row r="184">
      <c r="A184" t="inlineStr">
        <is>
          <t>发牌完成 | 底牌: ♣Q ♠K ♦A ♥2 ♥9 ♦7</t>
        </is>
      </c>
    </row>
    <row r="185">
      <c r="A185" t="inlineStr">
        <is>
          <t>【底牌首张定主】♣Q → 主=草花</t>
        </is>
      </c>
    </row>
    <row r="186">
      <c r="A186" t="inlineStr">
        <is>
          <t>【埋底】庄家（玩4）埋 ♦4 ♠4, 取回 ♣Q ♠K</t>
        </is>
      </c>
    </row>
    <row r="187">
      <c r="A187" t="inlineStr">
        <is>
          <t xml:space="preserve">  埋底后底牌: ♦A ♥2 ♥9 ♦7 ♦4 ♠4 (分值=0)</t>
        </is>
      </c>
    </row>
    <row r="188">
      <c r="A188" t="inlineStr">
        <is>
          <t>第1圈 [对子]: 玩4首出 → [玩4:♦6 ♣6 | 玩1:♦3 ♦5 | 玩2:♦2 ♦10 | 玩3:♥3 大王] → 赢: 玩3(大王) 分=15</t>
        </is>
      </c>
    </row>
    <row r="189">
      <c r="A189" t="inlineStr">
        <is>
          <t>第2圈 [对子]: 玩3首出 → [玩3:♥4 ♣4 | 玩4:♠7 ♥7 | 玩1:♠3 ♠5 | 玩2:♥5 ♥6] → 赢: 玩4(♥7) 分=10</t>
        </is>
      </c>
    </row>
    <row r="190">
      <c r="A190" t="inlineStr">
        <is>
          <t>第3圈 [对子]: 玩4首出 → [玩4:♠Q ♣Q | 玩1:♠2 ♠8 | 玩2:♠6 ♣7 | 玩3:♣3 ♣5] → 赢: 玩1(♠2) 分=5</t>
        </is>
      </c>
    </row>
    <row r="191">
      <c r="A191" t="inlineStr">
        <is>
          <t>第4圈 [对子]: 玩1首出 → [玩1:♠J ♣J | 玩2:♥8 ♣9 | 玩3:♣8 ♥J | 玩4:♦8 ♦9] → 赢: 玩1(♠J) 分=0</t>
        </is>
      </c>
    </row>
    <row r="192">
      <c r="A192" t="inlineStr">
        <is>
          <t>第5圈 [单张]: 玩1首出 → [玩1:♠9 | 玩2:♥10 | 玩3:♠A | 玩4:♠K] → 赢: 玩3(♠A) 分=20</t>
        </is>
      </c>
    </row>
    <row r="193">
      <c r="A193" t="inlineStr">
        <is>
          <t>第6圈 [单张]: 玩3首出 → [玩3:♦Q | 玩4:♦J | 玩1:♠10 | 玩2:♦K] → 赢: 玩2(♦K) 分=20</t>
        </is>
      </c>
    </row>
    <row r="194">
      <c r="A194" t="inlineStr">
        <is>
          <t>第7圈 [单张]: 玩2首出 → [玩2:♥A | 玩3:♥K | 玩4:小王 | 玩1:♥Q] → 赢: 玩4(小王) 分=10</t>
        </is>
      </c>
    </row>
    <row r="195">
      <c r="A195" t="inlineStr">
        <is>
          <t>第8圈 [单张]: 玩4首出 → [玩4:♣A | 玩1:♣K | 玩2:♣10 | 玩3:♣2] → 赢: 玩3(♣2) 分=20</t>
        </is>
      </c>
    </row>
    <row r="196">
      <c r="A196" t="inlineStr">
        <is>
          <t>抓分方总分=100</t>
        </is>
      </c>
    </row>
    <row r="197">
      <c r="A197" t="inlineStr">
        <is>
          <t>结算: 抓分=100 扣底=是 庄方+0 抓方+9</t>
        </is>
      </c>
    </row>
    <row r="198">
      <c r="A198" t="inlineStr">
        <is>
          <t>级牌: 庄方 7→7 | 抓方 7→16</t>
        </is>
      </c>
    </row>
    <row r="199">
      <c r="A199" t="inlineStr">
        <is>
          <t>⚠️ 抓分方 16 &gt; 7，强制停在7，获得庄权，需再守庄一局</t>
        </is>
      </c>
    </row>
    <row r="200">
      <c r="A200" t="inlineStr">
        <is>
          <t>庄家变更: → 玩1</t>
        </is>
      </c>
    </row>
    <row r="201">
      <c r="A201" t="inlineStr">
        <is>
          <t>级牌重置: 庄家方=7 抓分方=7</t>
        </is>
      </c>
    </row>
    <row r="202">
      <c r="A202" t="inlineStr">
        <is>
          <t>守庄失败，对方上台继续</t>
        </is>
      </c>
    </row>
    <row r="203">
      <c r="A203" t="inlineStr">
        <is>
          <t>第4局结束 | 庄家方=7 抓分方=7</t>
        </is>
      </c>
    </row>
    <row r="204">
      <c r="A204" s="8" t="inlineStr">
        <is>
          <t>📊 结算</t>
        </is>
      </c>
    </row>
    <row r="205">
      <c r="A205" s="9" t="inlineStr">
        <is>
          <t>抓分方得分</t>
        </is>
      </c>
      <c r="C205" t="inlineStr">
        <is>
          <t>100</t>
        </is>
      </c>
    </row>
    <row r="206">
      <c r="A206" s="9" t="inlineStr">
        <is>
          <t>是否扣底</t>
        </is>
      </c>
      <c r="C206" t="inlineStr">
        <is>
          <t>是</t>
        </is>
      </c>
    </row>
    <row r="207">
      <c r="A207" s="9" t="inlineStr">
        <is>
          <t>扣底牌</t>
        </is>
      </c>
      <c r="C207" t="inlineStr">
        <is>
          <t>♣2</t>
        </is>
      </c>
    </row>
    <row r="208">
      <c r="A208" s="9" t="inlineStr">
        <is>
          <t>基础升级 抓方</t>
        </is>
      </c>
      <c r="C208" t="inlineStr">
        <is>
          <t>+6</t>
        </is>
      </c>
    </row>
    <row r="209">
      <c r="A209" s="9" t="inlineStr">
        <is>
          <t>扣底加成</t>
        </is>
      </c>
      <c r="C209" t="inlineStr">
        <is>
          <t>+3</t>
        </is>
      </c>
    </row>
    <row r="210">
      <c r="A210" s="9" t="inlineStr">
        <is>
          <t>总升级 抓方</t>
        </is>
      </c>
      <c r="C210" t="inlineStr">
        <is>
          <t>+9</t>
        </is>
      </c>
    </row>
    <row r="211">
      <c r="A211" s="9" t="inlineStr">
        <is>
          <t>总升级 庄方</t>
        </is>
      </c>
      <c r="C211" t="inlineStr">
        <is>
          <t>+0</t>
        </is>
      </c>
    </row>
    <row r="212">
      <c r="A212" s="9" t="inlineStr">
        <is>
          <t>结果</t>
        </is>
      </c>
      <c r="C212" t="inlineStr">
        <is>
          <t>上台过7（需守庄）</t>
        </is>
      </c>
    </row>
    <row r="215">
      <c r="A215" s="6" t="inlineStr">
        <is>
          <t>═══ 第5局 ─ 上台过7（需守庄） ═══</t>
        </is>
      </c>
    </row>
    <row r="216">
      <c r="A216" s="7" t="inlineStr">
        <is>
          <t>庄家</t>
        </is>
      </c>
      <c r="C216" t="inlineStr">
        <is>
          <t>玩家1</t>
        </is>
      </c>
    </row>
    <row r="217">
      <c r="A217" s="7" t="inlineStr">
        <is>
          <t>庄家方级牌</t>
        </is>
      </c>
      <c r="C217" t="inlineStr">
        <is>
          <t>7</t>
        </is>
      </c>
    </row>
    <row r="218">
      <c r="A218" s="7" t="inlineStr">
        <is>
          <t>抓分方级牌</t>
        </is>
      </c>
      <c r="C218" t="inlineStr">
        <is>
          <t>7</t>
        </is>
      </c>
    </row>
    <row r="219">
      <c r="A219" s="7" t="inlineStr">
        <is>
          <t>本局级牌</t>
        </is>
      </c>
      <c r="C219" t="inlineStr">
        <is>
          <t>7</t>
        </is>
      </c>
    </row>
    <row r="220">
      <c r="A220" s="7" t="inlineStr">
        <is>
          <t>庄家阵营</t>
        </is>
      </c>
      <c r="C220" t="inlineStr">
        <is>
          <t>玩家1、玩家3</t>
        </is>
      </c>
    </row>
    <row r="221">
      <c r="A221" s="7" t="inlineStr">
        <is>
          <t>抓分阵营</t>
        </is>
      </c>
      <c r="C221" t="inlineStr">
        <is>
          <t>玩家2、玩家4</t>
        </is>
      </c>
    </row>
    <row r="222">
      <c r="A222" s="7" t="inlineStr">
        <is>
          <t>定主方式</t>
        </is>
      </c>
      <c r="C222" t="inlineStr">
        <is>
          <t>bottom_card</t>
        </is>
      </c>
    </row>
    <row r="223">
      <c r="A223" s="7" t="inlineStr">
        <is>
          <t>主花色</t>
        </is>
      </c>
      <c r="C223" t="inlineStr">
        <is>
          <t>方块</t>
        </is>
      </c>
    </row>
    <row r="224">
      <c r="A224" s="8" t="inlineStr">
        <is>
          <t>📋 初始手牌</t>
        </is>
      </c>
    </row>
    <row r="225">
      <c r="A225" t="inlineStr">
        <is>
          <t>玩家1</t>
        </is>
      </c>
      <c r="B225" t="inlineStr">
        <is>
          <t>♣4 ♠6 ♦3 ♥9 ♠3 ♠J ♥J ♣A ♣Q ♣5 ♣K ♣2</t>
        </is>
      </c>
    </row>
    <row r="226">
      <c r="A226" t="inlineStr">
        <is>
          <t>玩家2</t>
        </is>
      </c>
      <c r="B226" t="inlineStr">
        <is>
          <t>♠9 ♦4 ♣7 ♥Q ♠7 ♥10 ♣3 ♣6 ♠5 ♠10 ♠Q ♥A</t>
        </is>
      </c>
    </row>
    <row r="227">
      <c r="A227" t="inlineStr">
        <is>
          <t>玩家3</t>
        </is>
      </c>
      <c r="B227" t="inlineStr">
        <is>
          <t>♦5 ♥8 ♦9 ♥7 ♥K ♦Q ♣8 ♥3 大王 小王 ♣9 ♦A</t>
        </is>
      </c>
    </row>
    <row r="228">
      <c r="A228" t="inlineStr">
        <is>
          <t>玩家4</t>
        </is>
      </c>
      <c r="B228" t="inlineStr">
        <is>
          <t>♦6 ♥2 ♠4 ♣10 ♥6 ♦7 ♥5 ♦10 ♠8 ♥4 ♦J ♦8</t>
        </is>
      </c>
    </row>
    <row r="229">
      <c r="A229" s="8" t="inlineStr">
        <is>
          <t>📦 底牌信息</t>
        </is>
      </c>
    </row>
    <row r="230">
      <c r="A230" t="inlineStr">
        <is>
          <t>初始底牌</t>
        </is>
      </c>
      <c r="B230" t="inlineStr">
        <is>
          <t>♦K ♠A ♠K ♣J ♦2 ♠2</t>
        </is>
      </c>
    </row>
    <row r="231">
      <c r="A231" t="inlineStr">
        <is>
          <t>庄家埋入</t>
        </is>
      </c>
      <c r="B231" t="inlineStr">
        <is>
          <t>♦3 ♠3 ♣4 ♠6</t>
        </is>
      </c>
      <c r="D231" t="inlineStr">
        <is>
          <t>♦2 ♠2 ♦3 ♠3 ♣4 ♠6</t>
        </is>
      </c>
      <c r="E231" t="inlineStr">
        <is>
          <t>分值=0</t>
        </is>
      </c>
    </row>
    <row r="232">
      <c r="A232" s="8" t="inlineStr">
        <is>
          <t>📝 操作日志</t>
        </is>
      </c>
    </row>
    <row r="233">
      <c r="A233">
        <f>== 第5局 ===</f>
        <v/>
      </c>
    </row>
    <row r="234">
      <c r="A234" t="inlineStr">
        <is>
          <t>庄家方级牌=7, 抓分方级牌=7, 庄家=玩家1</t>
        </is>
      </c>
    </row>
    <row r="235">
      <c r="A235" t="inlineStr">
        <is>
          <t>庄家阵营: 玩1、玩3 | 抓分阵营: 玩2、玩4</t>
        </is>
      </c>
    </row>
    <row r="236">
      <c r="A236" t="inlineStr">
        <is>
          <t>发牌完成 | 底牌: ♦K ♠A ♠K ♣J ♦2 ♠2</t>
        </is>
      </c>
    </row>
    <row r="237">
      <c r="A237" t="inlineStr">
        <is>
          <t>【底牌首张定主】♦K → 主=方块</t>
        </is>
      </c>
    </row>
    <row r="238">
      <c r="A238" t="inlineStr">
        <is>
          <t>【埋底】庄家（玩1）埋 ♦3 ♠3 ♣4 ♠6, 取回 ♦K ♠A ♠K ♣J</t>
        </is>
      </c>
    </row>
    <row r="239">
      <c r="A239" t="inlineStr">
        <is>
          <t xml:space="preserve">  埋底后底牌: ♦2 ♠2 ♦3 ♠3 ♣4 ♠6 (分值=0)</t>
        </is>
      </c>
    </row>
    <row r="240">
      <c r="A240" t="inlineStr">
        <is>
          <t>第1圈 [对子]: 玩1首出 → [玩1:♠J ♥J | 玩2:♠5 ♠7 | 玩3:♥3 小王 | 玩4:♠4 ♠8] → 赢: 玩3(小王) 分=5</t>
        </is>
      </c>
    </row>
    <row r="241">
      <c r="A241" t="inlineStr">
        <is>
          <t>第2圈 [对子]: 玩3首出 → [玩3:♥8 ♣8 | 玩4:♥2 ♥4 | 玩1:♣5 ♥9 | 玩2:♥10 ♥Q] → 赢: 玩4(♥2) 分=15</t>
        </is>
      </c>
    </row>
    <row r="242">
      <c r="A242" t="inlineStr">
        <is>
          <t>第3圈 [对子]: 玩4首出 → [玩4:♦6 ♥6 | 玩1:♣J ♣Q | 玩2:♣3 ♦4 | 玩3:♦5 ♦9] → 赢: 玩3(♦9) 分=5</t>
        </is>
      </c>
    </row>
    <row r="243">
      <c r="A243" t="inlineStr">
        <is>
          <t>第4圈 [单张]: 玩3首出 → [玩3:♥7 | 玩4:♥5 | 玩1:♣2 | 玩2:♥A] → 赢: 玩1(♣2) 分=5</t>
        </is>
      </c>
    </row>
    <row r="244">
      <c r="A244" t="inlineStr">
        <is>
          <t>第5圈 [对子]: 玩1首出 → [玩1:♣A ♠A | 玩2:♣6 ♣7 | 玩3:♣9 ♦Q | 玩4:♦7 ♦8] → 赢: 玩1(♣A) 分=0</t>
        </is>
      </c>
    </row>
    <row r="245">
      <c r="A245" t="inlineStr">
        <is>
          <t>第6圈 [单张]: 玩1首出 → [玩1:♣K | 玩2:♠9 | 玩3:大王 | 玩4:♣10] → 赢: 玩3(大王) 分=20</t>
        </is>
      </c>
    </row>
    <row r="246">
      <c r="A246" t="inlineStr">
        <is>
          <t>第7圈 [单张]: 玩3首出 → [玩3:♦A | 玩4:♦J | 玩1:♦K | 玩2:♠10] → 赢: 玩3(♦A) 分=20</t>
        </is>
      </c>
    </row>
    <row r="247">
      <c r="A247" t="inlineStr">
        <is>
          <t>第8圈 [单张]: 玩3首出 → [玩3:♥K | 玩4:♦10 | 玩1:♠K | 玩2:♠Q] → 赢: 玩3(♥K) 分=30</t>
        </is>
      </c>
    </row>
    <row r="248">
      <c r="A248" t="inlineStr">
        <is>
          <t>抓分方总分=100</t>
        </is>
      </c>
    </row>
    <row r="249">
      <c r="A249" t="inlineStr">
        <is>
          <t>结算: 抓分=100 扣底=否 庄方+0 抓方+6</t>
        </is>
      </c>
    </row>
    <row r="250">
      <c r="A250" t="inlineStr">
        <is>
          <t>级牌: 庄方 7→7 | 抓方 7→13</t>
        </is>
      </c>
    </row>
    <row r="251">
      <c r="A251" t="inlineStr">
        <is>
          <t>⚠️ 抓分方 13 &gt; 7，强制停在7，获得庄权，需再守庄一局</t>
        </is>
      </c>
    </row>
    <row r="252">
      <c r="A252" t="inlineStr">
        <is>
          <t>庄家变更: → 玩2</t>
        </is>
      </c>
    </row>
    <row r="253">
      <c r="A253" t="inlineStr">
        <is>
          <t>级牌重置: 庄家方=7 抓分方=7</t>
        </is>
      </c>
    </row>
    <row r="254">
      <c r="A254" t="inlineStr">
        <is>
          <t>守庄失败，对方上台继续</t>
        </is>
      </c>
    </row>
    <row r="255">
      <c r="A255" t="inlineStr">
        <is>
          <t>第5局结束 | 庄家方=7 抓分方=7</t>
        </is>
      </c>
    </row>
    <row r="256">
      <c r="A256" s="8" t="inlineStr">
        <is>
          <t>📊 结算</t>
        </is>
      </c>
    </row>
    <row r="257">
      <c r="A257" s="9" t="inlineStr">
        <is>
          <t>抓分方得分</t>
        </is>
      </c>
      <c r="C257" t="inlineStr">
        <is>
          <t>100</t>
        </is>
      </c>
    </row>
    <row r="258">
      <c r="A258" s="9" t="inlineStr">
        <is>
          <t>是否扣底</t>
        </is>
      </c>
      <c r="C258" t="inlineStr">
        <is>
          <t>否</t>
        </is>
      </c>
    </row>
    <row r="259">
      <c r="A259" s="9" t="inlineStr">
        <is>
          <t>扣底牌</t>
        </is>
      </c>
      <c r="C259" t="inlineStr">
        <is>
          <t>♥K</t>
        </is>
      </c>
    </row>
    <row r="260">
      <c r="A260" s="9" t="inlineStr">
        <is>
          <t>基础升级 抓方</t>
        </is>
      </c>
      <c r="C260" t="inlineStr">
        <is>
          <t>+6</t>
        </is>
      </c>
    </row>
    <row r="261">
      <c r="A261" s="9" t="inlineStr">
        <is>
          <t>扣底加成</t>
        </is>
      </c>
      <c r="C261" t="inlineStr">
        <is>
          <t>无</t>
        </is>
      </c>
    </row>
    <row r="262">
      <c r="A262" s="9" t="inlineStr">
        <is>
          <t>总升级 抓方</t>
        </is>
      </c>
      <c r="C262" t="inlineStr">
        <is>
          <t>+6</t>
        </is>
      </c>
    </row>
    <row r="263">
      <c r="A263" s="9" t="inlineStr">
        <is>
          <t>总升级 庄方</t>
        </is>
      </c>
      <c r="C263" t="inlineStr">
        <is>
          <t>+0</t>
        </is>
      </c>
    </row>
    <row r="264">
      <c r="A264" s="9" t="inlineStr">
        <is>
          <t>结果</t>
        </is>
      </c>
      <c r="C264" t="inlineStr">
        <is>
          <t>上台过7（需守庄）</t>
        </is>
      </c>
    </row>
    <row r="267">
      <c r="A267" s="6" t="inlineStr">
        <is>
          <t>═══ 第6局 ─ 上台过7（需守庄） ═══</t>
        </is>
      </c>
    </row>
    <row r="268">
      <c r="A268" s="7" t="inlineStr">
        <is>
          <t>庄家</t>
        </is>
      </c>
      <c r="C268" t="inlineStr">
        <is>
          <t>玩家2</t>
        </is>
      </c>
    </row>
    <row r="269">
      <c r="A269" s="7" t="inlineStr">
        <is>
          <t>庄家方级牌</t>
        </is>
      </c>
      <c r="C269" t="inlineStr">
        <is>
          <t>7</t>
        </is>
      </c>
    </row>
    <row r="270">
      <c r="A270" s="7" t="inlineStr">
        <is>
          <t>抓分方级牌</t>
        </is>
      </c>
      <c r="C270" t="inlineStr">
        <is>
          <t>7</t>
        </is>
      </c>
    </row>
    <row r="271">
      <c r="A271" s="7" t="inlineStr">
        <is>
          <t>本局级牌</t>
        </is>
      </c>
      <c r="C271" t="inlineStr">
        <is>
          <t>7</t>
        </is>
      </c>
    </row>
    <row r="272">
      <c r="A272" s="7" t="inlineStr">
        <is>
          <t>庄家阵营</t>
        </is>
      </c>
      <c r="C272" t="inlineStr">
        <is>
          <t>玩家2、玩家4</t>
        </is>
      </c>
    </row>
    <row r="273">
      <c r="A273" s="7" t="inlineStr">
        <is>
          <t>抓分阵营</t>
        </is>
      </c>
      <c r="C273" t="inlineStr">
        <is>
          <t>玩家3、玩家1</t>
        </is>
      </c>
    </row>
    <row r="274">
      <c r="A274" s="7" t="inlineStr">
        <is>
          <t>定主方式</t>
        </is>
      </c>
      <c r="C274" t="inlineStr">
        <is>
          <t>bottom_card</t>
        </is>
      </c>
    </row>
    <row r="275">
      <c r="A275" s="7" t="inlineStr">
        <is>
          <t>主花色</t>
        </is>
      </c>
      <c r="C275" t="inlineStr">
        <is>
          <t>方块</t>
        </is>
      </c>
    </row>
    <row r="276">
      <c r="A276" s="8" t="inlineStr">
        <is>
          <t>📋 初始手牌</t>
        </is>
      </c>
    </row>
    <row r="277">
      <c r="A277" t="inlineStr">
        <is>
          <t>玩家1</t>
        </is>
      </c>
      <c r="B277" t="inlineStr">
        <is>
          <t>♣J ♠A ♣5 ♥6 ♣7 ♥2 ♥5 ♦6 ♠5 ♦Q 大王 ♦3</t>
        </is>
      </c>
    </row>
    <row r="278">
      <c r="A278" t="inlineStr">
        <is>
          <t>玩家2</t>
        </is>
      </c>
      <c r="B278" t="inlineStr">
        <is>
          <t>♠10 ♦5 ♦9 ♠2 小王 ♠6 ♣Q ♥K ♦A ♥J ♦K ♦J</t>
        </is>
      </c>
    </row>
    <row r="279">
      <c r="A279" t="inlineStr">
        <is>
          <t>玩家3</t>
        </is>
      </c>
      <c r="B279" t="inlineStr">
        <is>
          <t>♦8 ♣2 ♦4 ♥10 ♣A ♥9 ♠J ♠8 ♣8 ♠9 ♣10 ♥Q</t>
        </is>
      </c>
    </row>
    <row r="280">
      <c r="A280" t="inlineStr">
        <is>
          <t>玩家4</t>
        </is>
      </c>
      <c r="B280" t="inlineStr">
        <is>
          <t>♦7 ♣3 ♣4 ♣K ♣6 ♦2 ♥3 ♠K ♠7 ♥A ♥7 ♠3</t>
        </is>
      </c>
    </row>
    <row r="281">
      <c r="A281" s="8" t="inlineStr">
        <is>
          <t>📦 底牌信息</t>
        </is>
      </c>
    </row>
    <row r="282">
      <c r="A282" t="inlineStr">
        <is>
          <t>初始底牌</t>
        </is>
      </c>
      <c r="B282" t="inlineStr">
        <is>
          <t>♦10 ♥4 ♠4 ♠Q ♥8 ♣9</t>
        </is>
      </c>
    </row>
    <row r="283">
      <c r="A283" t="inlineStr">
        <is>
          <t>庄家埋入</t>
        </is>
      </c>
      <c r="B283" t="inlineStr">
        <is>
          <t>♠6 ♦9 ♥J ♦J ♣Q</t>
        </is>
      </c>
      <c r="D283" t="inlineStr">
        <is>
          <t>♣9 ♠6 ♦9 ♥J ♦J ♣Q</t>
        </is>
      </c>
      <c r="E283" t="inlineStr">
        <is>
          <t>分值=0</t>
        </is>
      </c>
    </row>
    <row r="284">
      <c r="A284" s="8" t="inlineStr">
        <is>
          <t>📝 操作日志</t>
        </is>
      </c>
    </row>
    <row r="285">
      <c r="A285">
        <f>== 第6局 ===</f>
        <v/>
      </c>
    </row>
    <row r="286">
      <c r="A286" t="inlineStr">
        <is>
          <t>庄家方级牌=7, 抓分方级牌=7, 庄家=玩家2</t>
        </is>
      </c>
    </row>
    <row r="287">
      <c r="A287" t="inlineStr">
        <is>
          <t>庄家阵营: 玩2、玩4 | 抓分阵营: 玩3、玩1</t>
        </is>
      </c>
    </row>
    <row r="288">
      <c r="A288" t="inlineStr">
        <is>
          <t>发牌完成 | 底牌: ♦10 ♥4 ♠4 ♠Q ♥8 ♣9</t>
        </is>
      </c>
    </row>
    <row r="289">
      <c r="A289" t="inlineStr">
        <is>
          <t>【底牌首张定主】♦10 → 主=方块</t>
        </is>
      </c>
    </row>
    <row r="290">
      <c r="A290" t="inlineStr">
        <is>
          <t>【埋底】庄家（玩2）埋 ♠6 ♦9 ♥J ♦J ♣Q, 取回 ♦10 ♥4 ♠4 ♠Q ♥8</t>
        </is>
      </c>
    </row>
    <row r="291">
      <c r="A291" t="inlineStr">
        <is>
          <t xml:space="preserve">  埋底后底牌: ♣9 ♠6 ♦9 ♥J ♦J ♣Q (分值=0)</t>
        </is>
      </c>
    </row>
    <row r="292">
      <c r="A292" t="inlineStr">
        <is>
          <t>第1圈 [对子]: 玩2首出 → [玩2:♥4 ♠4 | 玩3:♥9 ♥10 | 玩4:♥3 ♥7 | 玩1:♥2 ♥5] → 赢: 玩4(♥3) 分=15</t>
        </is>
      </c>
    </row>
    <row r="293">
      <c r="A293" t="inlineStr">
        <is>
          <t>第2圈 [对子]: 玩4首出 → [玩4:♣3 ♠3 | 玩1:♣5 ♣7 | 玩2:♠2 小王 | 玩3:♣2 ♣8] → 赢: 玩2(小王) 分=5</t>
        </is>
      </c>
    </row>
    <row r="294">
      <c r="A294" t="inlineStr">
        <is>
          <t>第3圈 [单张]: 玩2首出 → [玩2:♥8 | 玩3:♥Q | 玩4:♥A | 玩1:♥6] → 赢: 玩4(♥A) 分=0</t>
        </is>
      </c>
    </row>
    <row r="295">
      <c r="A295" t="inlineStr">
        <is>
          <t>第4圈 [对子]: 玩4首出 → [玩4:♦7 ♠7 | 玩1:♦3 ♦6 | 玩2:♦5 ♦10 | 玩3:♦4 ♦8] → 赢: 玩2(♦10) 分=15</t>
        </is>
      </c>
    </row>
    <row r="296">
      <c r="A296" t="inlineStr">
        <is>
          <t>第5圈 [单张]: 玩2首出 → [玩2:♠Q | 玩3:♠8 | 玩4:♠K | 玩1:♠A] → 赢: 玩1(♠A) 分=10</t>
        </is>
      </c>
    </row>
    <row r="297">
      <c r="A297" t="inlineStr">
        <is>
          <t>第6圈 [单张]: 玩1首出 → [玩1:♣J | 玩2:♠10 | 玩3:♣A | 玩4:♣4] → 赢: 玩3(♣A) 分=10</t>
        </is>
      </c>
    </row>
    <row r="298">
      <c r="A298" t="inlineStr">
        <is>
          <t>第7圈 [单张]: 玩3首出 → [玩3:♠9 | 玩4:♣6 | 玩1:♠5 | 玩2:♥K] → 赢: 玩3(♠9) 分=15</t>
        </is>
      </c>
    </row>
    <row r="299">
      <c r="A299" t="inlineStr">
        <is>
          <t>第8圈 [单张]: 玩3首出 → [玩3:♠J | 玩4:♣K | 玩1:大王 | 玩2:♦K] → 赢: 玩1(大王) 分=20</t>
        </is>
      </c>
    </row>
    <row r="300">
      <c r="A300" t="inlineStr">
        <is>
          <t>第9圈 [单张]: 玩1首出 → [玩1:♦Q | 玩2:♦A | 玩3:♣10 | 玩4:♦2] → 赢: 玩4(♦2) 分=10</t>
        </is>
      </c>
    </row>
    <row r="301">
      <c r="A301" t="inlineStr">
        <is>
          <t>抓分方总分=100</t>
        </is>
      </c>
    </row>
    <row r="302">
      <c r="A302" t="inlineStr">
        <is>
          <t>结算: 抓分=100 扣底=否 庄方+0 抓方+6</t>
        </is>
      </c>
    </row>
    <row r="303">
      <c r="A303" t="inlineStr">
        <is>
          <t>级牌: 庄方 7→7 | 抓方 7→13</t>
        </is>
      </c>
    </row>
    <row r="304">
      <c r="A304" t="inlineStr">
        <is>
          <t>⚠️ 抓分方 13 &gt; 7，强制停在7，获得庄权，需再守庄一局</t>
        </is>
      </c>
    </row>
    <row r="305">
      <c r="A305" t="inlineStr">
        <is>
          <t>庄家变更: → 玩3</t>
        </is>
      </c>
    </row>
    <row r="306">
      <c r="A306" t="inlineStr">
        <is>
          <t>级牌重置: 庄家方=7 抓分方=7</t>
        </is>
      </c>
    </row>
    <row r="307">
      <c r="A307" t="inlineStr">
        <is>
          <t>守庄失败，对方上台继续</t>
        </is>
      </c>
    </row>
    <row r="308">
      <c r="A308" t="inlineStr">
        <is>
          <t>第6局结束 | 庄家方=7 抓分方=7</t>
        </is>
      </c>
    </row>
    <row r="309">
      <c r="A309" s="8" t="inlineStr">
        <is>
          <t>📊 结算</t>
        </is>
      </c>
    </row>
    <row r="310">
      <c r="A310" s="9" t="inlineStr">
        <is>
          <t>抓分方得分</t>
        </is>
      </c>
      <c r="C310" t="inlineStr">
        <is>
          <t>100</t>
        </is>
      </c>
    </row>
    <row r="311">
      <c r="A311" s="9" t="inlineStr">
        <is>
          <t>是否扣底</t>
        </is>
      </c>
      <c r="C311" t="inlineStr">
        <is>
          <t>否</t>
        </is>
      </c>
    </row>
    <row r="312">
      <c r="A312" s="9" t="inlineStr">
        <is>
          <t>扣底牌</t>
        </is>
      </c>
      <c r="C312" t="inlineStr">
        <is>
          <t>♦2</t>
        </is>
      </c>
    </row>
    <row r="313">
      <c r="A313" s="9" t="inlineStr">
        <is>
          <t>基础升级 抓方</t>
        </is>
      </c>
      <c r="C313" t="inlineStr">
        <is>
          <t>+6</t>
        </is>
      </c>
    </row>
    <row r="314">
      <c r="A314" s="9" t="inlineStr">
        <is>
          <t>扣底加成</t>
        </is>
      </c>
      <c r="C314" t="inlineStr">
        <is>
          <t>无</t>
        </is>
      </c>
    </row>
    <row r="315">
      <c r="A315" s="9" t="inlineStr">
        <is>
          <t>总升级 抓方</t>
        </is>
      </c>
      <c r="C315" t="inlineStr">
        <is>
          <t>+6</t>
        </is>
      </c>
    </row>
    <row r="316">
      <c r="A316" s="9" t="inlineStr">
        <is>
          <t>总升级 庄方</t>
        </is>
      </c>
      <c r="C316" t="inlineStr">
        <is>
          <t>+0</t>
        </is>
      </c>
    </row>
    <row r="317">
      <c r="A317" s="9" t="inlineStr">
        <is>
          <t>结果</t>
        </is>
      </c>
      <c r="C317" t="inlineStr">
        <is>
          <t>上台过7（需守庄）</t>
        </is>
      </c>
    </row>
    <row r="320">
      <c r="A320" s="6" t="inlineStr">
        <is>
          <t>═══ 第7局 ─ 上台过7（需守庄） ═══</t>
        </is>
      </c>
    </row>
    <row r="321">
      <c r="A321" s="7" t="inlineStr">
        <is>
          <t>庄家</t>
        </is>
      </c>
      <c r="C321" t="inlineStr">
        <is>
          <t>玩家3</t>
        </is>
      </c>
    </row>
    <row r="322">
      <c r="A322" s="7" t="inlineStr">
        <is>
          <t>庄家方级牌</t>
        </is>
      </c>
      <c r="C322" t="inlineStr">
        <is>
          <t>7</t>
        </is>
      </c>
    </row>
    <row r="323">
      <c r="A323" s="7" t="inlineStr">
        <is>
          <t>抓分方级牌</t>
        </is>
      </c>
      <c r="C323" t="inlineStr">
        <is>
          <t>7</t>
        </is>
      </c>
    </row>
    <row r="324">
      <c r="A324" s="7" t="inlineStr">
        <is>
          <t>本局级牌</t>
        </is>
      </c>
      <c r="C324" t="inlineStr">
        <is>
          <t>7</t>
        </is>
      </c>
    </row>
    <row r="325">
      <c r="A325" s="7" t="inlineStr">
        <is>
          <t>庄家阵营</t>
        </is>
      </c>
      <c r="C325" t="inlineStr">
        <is>
          <t>玩家3、玩家1</t>
        </is>
      </c>
    </row>
    <row r="326">
      <c r="A326" s="7" t="inlineStr">
        <is>
          <t>抓分阵营</t>
        </is>
      </c>
      <c r="C326" t="inlineStr">
        <is>
          <t>玩家4、玩家2</t>
        </is>
      </c>
    </row>
    <row r="327">
      <c r="A327" s="7" t="inlineStr">
        <is>
          <t>定主方式</t>
        </is>
      </c>
      <c r="C327" t="inlineStr">
        <is>
          <t>bottom_card</t>
        </is>
      </c>
    </row>
    <row r="328">
      <c r="A328" s="7" t="inlineStr">
        <is>
          <t>主花色</t>
        </is>
      </c>
      <c r="C328" t="inlineStr">
        <is>
          <t>黑桃</t>
        </is>
      </c>
    </row>
    <row r="329">
      <c r="A329" s="8" t="inlineStr">
        <is>
          <t>📋 初始手牌</t>
        </is>
      </c>
    </row>
    <row r="330">
      <c r="A330" t="inlineStr">
        <is>
          <t>玩家1</t>
        </is>
      </c>
      <c r="B330" t="inlineStr">
        <is>
          <t>小王 ♠5 ♣K ♣3 ♣8 ♥3 ♦4 ♥A ♣6 ♠8 大王 ♠3</t>
        </is>
      </c>
    </row>
    <row r="331">
      <c r="A331" t="inlineStr">
        <is>
          <t>玩家2</t>
        </is>
      </c>
      <c r="B331" t="inlineStr">
        <is>
          <t>♥5 ♠6 ♥J ♠J ♣J ♣Q ♥Q ♥K ♠9 ♦5 ♦10 ♦6</t>
        </is>
      </c>
    </row>
    <row r="332">
      <c r="A332" t="inlineStr">
        <is>
          <t>玩家3</t>
        </is>
      </c>
      <c r="B332" t="inlineStr">
        <is>
          <t>♥6 ♥4 ♠Q ♣9 ♦K ♦7 ♦8 ♣5 ♣4 ♥9 ♦2 ♠2</t>
        </is>
      </c>
    </row>
    <row r="333">
      <c r="A333" t="inlineStr">
        <is>
          <t>玩家4</t>
        </is>
      </c>
      <c r="B333" t="inlineStr">
        <is>
          <t>♦A ♠7 ♣A ♥8 ♥10 ♦Q ♣7 ♣2 ♥2 ♦9 ♠4 ♠A</t>
        </is>
      </c>
    </row>
    <row r="334">
      <c r="A334" s="8" t="inlineStr">
        <is>
          <t>📦 底牌信息</t>
        </is>
      </c>
    </row>
    <row r="335">
      <c r="A335" t="inlineStr">
        <is>
          <t>初始底牌</t>
        </is>
      </c>
      <c r="B335" t="inlineStr">
        <is>
          <t>♠K ♠10 ♦J ♣10 ♥7 ♦3</t>
        </is>
      </c>
    </row>
    <row r="336">
      <c r="A336" t="inlineStr">
        <is>
          <t>庄家埋入</t>
        </is>
      </c>
      <c r="B336" t="inlineStr">
        <is>
          <t>♥4 ♣4 ♥6</t>
        </is>
      </c>
      <c r="D336" t="inlineStr">
        <is>
          <t>♣10 ♥7 ♦3 ♥4 ♣4 ♥6</t>
        </is>
      </c>
      <c r="E336" t="inlineStr">
        <is>
          <t>分值=10</t>
        </is>
      </c>
    </row>
    <row r="337">
      <c r="A337" s="8" t="inlineStr">
        <is>
          <t>📝 操作日志</t>
        </is>
      </c>
    </row>
    <row r="338">
      <c r="A338">
        <f>== 第7局 ===</f>
        <v/>
      </c>
    </row>
    <row r="339">
      <c r="A339" t="inlineStr">
        <is>
          <t>庄家方级牌=7, 抓分方级牌=7, 庄家=玩家3</t>
        </is>
      </c>
    </row>
    <row r="340">
      <c r="A340" t="inlineStr">
        <is>
          <t>庄家阵营: 玩3、玩1 | 抓分阵营: 玩4、玩2</t>
        </is>
      </c>
    </row>
    <row r="341">
      <c r="A341" t="inlineStr">
        <is>
          <t>发牌完成 | 底牌: ♠K ♠10 ♦J ♣10 ♥7 ♦3</t>
        </is>
      </c>
    </row>
    <row r="342">
      <c r="A342" t="inlineStr">
        <is>
          <t>【底牌首张定主】♠K → 主=黑桃</t>
        </is>
      </c>
    </row>
    <row r="343">
      <c r="A343" t="inlineStr">
        <is>
          <t>【埋底】庄家（玩3）埋 ♥4 ♣4 ♥6, 取回 ♠K ♠10 ♦J</t>
        </is>
      </c>
    </row>
    <row r="344">
      <c r="A344" t="inlineStr">
        <is>
          <t xml:space="preserve">  埋底后底牌: ♣10 ♥7 ♦3 ♥4 ♣4 ♥6 (分值=10)</t>
        </is>
      </c>
    </row>
    <row r="345">
      <c r="A345" t="inlineStr">
        <is>
          <t>第1圈 [对子]: 玩3首出 → [玩3:♣9 ♥9 | 玩4:♣2 ♣7 | 玩1:♣3 ♣6 | 玩2:♣J ♣Q] → 赢: 玩4(♣2) 分=0</t>
        </is>
      </c>
    </row>
    <row r="346">
      <c r="A346" t="inlineStr">
        <is>
          <t>第2圈 [对子]: 玩4首出 → [玩4:♦A ♣A | 玩1:♠3 ♦4 | 玩2:♦5 ♦6 | 玩3:♦2 ♦7] → 赢: 玩3(♦2) 分=5</t>
        </is>
      </c>
    </row>
    <row r="347">
      <c r="A347" t="inlineStr">
        <is>
          <t>第3圈 [单张]: 玩3首出 → [玩3:♦8 | 玩4:♦9 | 玩1:♠5 | 玩2:♦10] → 赢: 玩2(♦10) 分=15</t>
        </is>
      </c>
    </row>
    <row r="348">
      <c r="A348" t="inlineStr">
        <is>
          <t>第4圈 [对子]: 玩2首出 → [玩2:♥J ♠J | 玩3:♣5 ♠10 | 玩4:♥2 ♥8 | 玩1:♥3 ♥A] → 赢: 玩1(♥3) 分=15</t>
        </is>
      </c>
    </row>
    <row r="349">
      <c r="A349" t="inlineStr">
        <is>
          <t>第5圈 [对子]: 玩1首出 → [玩1:♣8 ♠8 | 玩2:♥5 ♠6 | 玩3:♠2 | 玩4:♠4 ♠7] → 赢: 玩3(♠2) 分=5</t>
        </is>
      </c>
    </row>
    <row r="350">
      <c r="A350" t="inlineStr">
        <is>
          <t>第6圈 [单张]: 玩3首出 → [玩3:♦J | 玩4:♦Q | 玩1:♣K | 玩2:♠9] → 赢: 玩4(♦Q) 分=10</t>
        </is>
      </c>
    </row>
    <row r="351">
      <c r="A351" t="inlineStr">
        <is>
          <t>第7圈 [单张]: 玩4首出 → [玩4:♠A | 玩1:小王 | 玩2:♥Q | 玩3:♠Q] → 赢: 玩1(小王) 分=0</t>
        </is>
      </c>
    </row>
    <row r="352">
      <c r="A352" t="inlineStr">
        <is>
          <t>第8圈 [单张]: 玩1首出 → [玩1:大王 | 玩2:♥K | 玩3:♦K | 玩4:♥10] → 赢: 玩1(大王) 分=30</t>
        </is>
      </c>
    </row>
    <row r="353">
      <c r="A353" t="inlineStr">
        <is>
          <t>第9圈 [单张]: 玩1首出 → [玩1:无 | 玩2:无 | 玩3:♠K | 玩4:无] → 赢: 玩3(♠K) 分=10</t>
        </is>
      </c>
    </row>
    <row r="354">
      <c r="A354" t="inlineStr">
        <is>
          <t>抓分方总分=90</t>
        </is>
      </c>
    </row>
    <row r="355">
      <c r="A355" t="inlineStr">
        <is>
          <t>结算: 抓分=90 扣底=否 庄方+0 抓方+6</t>
        </is>
      </c>
    </row>
    <row r="356">
      <c r="A356" t="inlineStr">
        <is>
          <t>级牌: 庄方 7→7 | 抓方 7→13</t>
        </is>
      </c>
    </row>
    <row r="357">
      <c r="A357" t="inlineStr">
        <is>
          <t>⚠️ 抓分方 13 &gt; 7，强制停在7，获得庄权，需再守庄一局</t>
        </is>
      </c>
    </row>
    <row r="358">
      <c r="A358" t="inlineStr">
        <is>
          <t>庄家变更: → 玩4</t>
        </is>
      </c>
    </row>
    <row r="359">
      <c r="A359" t="inlineStr">
        <is>
          <t>级牌重置: 庄家方=7 抓分方=7</t>
        </is>
      </c>
    </row>
    <row r="360">
      <c r="A360" t="inlineStr">
        <is>
          <t>守庄失败，对方上台继续</t>
        </is>
      </c>
    </row>
    <row r="361">
      <c r="A361" t="inlineStr">
        <is>
          <t>第7局结束 | 庄家方=7 抓分方=7</t>
        </is>
      </c>
    </row>
    <row r="362">
      <c r="A362" s="8" t="inlineStr">
        <is>
          <t>📊 结算</t>
        </is>
      </c>
    </row>
    <row r="363">
      <c r="A363" s="9" t="inlineStr">
        <is>
          <t>抓分方得分</t>
        </is>
      </c>
      <c r="C363" t="inlineStr">
        <is>
          <t>90</t>
        </is>
      </c>
    </row>
    <row r="364">
      <c r="A364" s="9" t="inlineStr">
        <is>
          <t>是否扣底</t>
        </is>
      </c>
      <c r="C364" t="inlineStr">
        <is>
          <t>否</t>
        </is>
      </c>
    </row>
    <row r="365">
      <c r="A365" s="9" t="inlineStr">
        <is>
          <t>扣底牌</t>
        </is>
      </c>
      <c r="C365" t="inlineStr">
        <is>
          <t>♠K</t>
        </is>
      </c>
    </row>
    <row r="366">
      <c r="A366" s="9" t="inlineStr">
        <is>
          <t>基础升级 抓方</t>
        </is>
      </c>
      <c r="C366" t="inlineStr">
        <is>
          <t>+6</t>
        </is>
      </c>
    </row>
    <row r="367">
      <c r="A367" s="9" t="inlineStr">
        <is>
          <t>扣底加成</t>
        </is>
      </c>
      <c r="C367" t="inlineStr">
        <is>
          <t>无</t>
        </is>
      </c>
    </row>
    <row r="368">
      <c r="A368" s="9" t="inlineStr">
        <is>
          <t>总升级 抓方</t>
        </is>
      </c>
      <c r="C368" t="inlineStr">
        <is>
          <t>+6</t>
        </is>
      </c>
    </row>
    <row r="369">
      <c r="A369" s="9" t="inlineStr">
        <is>
          <t>总升级 庄方</t>
        </is>
      </c>
      <c r="C369" t="inlineStr">
        <is>
          <t>+0</t>
        </is>
      </c>
    </row>
    <row r="370">
      <c r="A370" s="9" t="inlineStr">
        <is>
          <t>结果</t>
        </is>
      </c>
      <c r="C370" t="inlineStr">
        <is>
          <t>上台过7（需守庄）</t>
        </is>
      </c>
    </row>
    <row r="373">
      <c r="A373" s="6" t="inlineStr">
        <is>
          <t>═══ 第8局 ─ 上台过7（需守庄） ═══</t>
        </is>
      </c>
    </row>
    <row r="374">
      <c r="A374" s="7" t="inlineStr">
        <is>
          <t>庄家</t>
        </is>
      </c>
      <c r="C374" t="inlineStr">
        <is>
          <t>玩家4</t>
        </is>
      </c>
    </row>
    <row r="375">
      <c r="A375" s="7" t="inlineStr">
        <is>
          <t>庄家方级牌</t>
        </is>
      </c>
      <c r="C375" t="inlineStr">
        <is>
          <t>7</t>
        </is>
      </c>
    </row>
    <row r="376">
      <c r="A376" s="7" t="inlineStr">
        <is>
          <t>抓分方级牌</t>
        </is>
      </c>
      <c r="C376" t="inlineStr">
        <is>
          <t>7</t>
        </is>
      </c>
    </row>
    <row r="377">
      <c r="A377" s="7" t="inlineStr">
        <is>
          <t>本局级牌</t>
        </is>
      </c>
      <c r="C377" t="inlineStr">
        <is>
          <t>7</t>
        </is>
      </c>
    </row>
    <row r="378">
      <c r="A378" s="7" t="inlineStr">
        <is>
          <t>庄家阵营</t>
        </is>
      </c>
      <c r="C378" t="inlineStr">
        <is>
          <t>玩家4、玩家2</t>
        </is>
      </c>
    </row>
    <row r="379">
      <c r="A379" s="7" t="inlineStr">
        <is>
          <t>抓分阵营</t>
        </is>
      </c>
      <c r="C379" t="inlineStr">
        <is>
          <t>玩家1、玩家3</t>
        </is>
      </c>
    </row>
    <row r="380">
      <c r="A380" s="7" t="inlineStr">
        <is>
          <t>定主方式</t>
        </is>
      </c>
      <c r="C380" t="inlineStr">
        <is>
          <t>bottom_card</t>
        </is>
      </c>
    </row>
    <row r="381">
      <c r="A381" s="7" t="inlineStr">
        <is>
          <t>主花色</t>
        </is>
      </c>
      <c r="C381" t="inlineStr">
        <is>
          <t>红桃</t>
        </is>
      </c>
    </row>
    <row r="382">
      <c r="A382" s="8" t="inlineStr">
        <is>
          <t>📋 初始手牌</t>
        </is>
      </c>
    </row>
    <row r="383">
      <c r="A383" t="inlineStr">
        <is>
          <t>玩家1</t>
        </is>
      </c>
      <c r="B383" t="inlineStr">
        <is>
          <t>♠8 ♣A ♦7 ♣4 ♦3 ♦8 ♥6 ♠J ♠6 ♠10 ♥10 ♠7</t>
        </is>
      </c>
    </row>
    <row r="384">
      <c r="A384" t="inlineStr">
        <is>
          <t>玩家2</t>
        </is>
      </c>
      <c r="B384" t="inlineStr">
        <is>
          <t>♣J ♣2 ♥K ♥2 ♣9 ♠9 ♦Q ♦4 ♦2 ♣K ♥A ♠3</t>
        </is>
      </c>
    </row>
    <row r="385">
      <c r="A385" t="inlineStr">
        <is>
          <t>玩家3</t>
        </is>
      </c>
      <c r="B385" t="inlineStr">
        <is>
          <t>♥J ♦6 ♠K ♥9 小王 ♦K ♦10 ♠4 ♥8 ♣Q ♠5 ♥7</t>
        </is>
      </c>
    </row>
    <row r="386">
      <c r="A386" t="inlineStr">
        <is>
          <t>玩家4</t>
        </is>
      </c>
      <c r="B386" t="inlineStr">
        <is>
          <t>♠A ♦5 ♦A ♦J ♣5 ♣8 ♥4 ♦9 ♣3 ♣10 ♠Q ♠2</t>
        </is>
      </c>
    </row>
    <row r="387">
      <c r="A387" s="8" t="inlineStr">
        <is>
          <t>📦 底牌信息</t>
        </is>
      </c>
    </row>
    <row r="388">
      <c r="A388" t="inlineStr">
        <is>
          <t>初始底牌</t>
        </is>
      </c>
      <c r="B388" t="inlineStr">
        <is>
          <t>♥3 ♥Q ♥5 ♣7 ♣6 大王</t>
        </is>
      </c>
    </row>
    <row r="389">
      <c r="A389" t="inlineStr">
        <is>
          <t>庄家埋入</t>
        </is>
      </c>
      <c r="B389" t="inlineStr">
        <is>
          <t>♣3 ♥4 ♣8 ♦9</t>
        </is>
      </c>
      <c r="D389" t="inlineStr">
        <is>
          <t>♣6 大王 ♣3 ♥4 ♣8 ♦9</t>
        </is>
      </c>
      <c r="E389" t="inlineStr">
        <is>
          <t>分值=0</t>
        </is>
      </c>
    </row>
    <row r="390">
      <c r="A390" s="8" t="inlineStr">
        <is>
          <t>📝 操作日志</t>
        </is>
      </c>
    </row>
    <row r="391">
      <c r="A391">
        <f>== 第8局 ===</f>
        <v/>
      </c>
    </row>
    <row r="392">
      <c r="A392" t="inlineStr">
        <is>
          <t>庄家方级牌=7, 抓分方级牌=7, 庄家=玩家4</t>
        </is>
      </c>
    </row>
    <row r="393">
      <c r="A393" t="inlineStr">
        <is>
          <t>庄家阵营: 玩4、玩2 | 抓分阵营: 玩1、玩3</t>
        </is>
      </c>
    </row>
    <row r="394">
      <c r="A394" t="inlineStr">
        <is>
          <t>发牌完成 | 底牌: ♥3 ♥Q ♥5 ♣7 ♣6 大王</t>
        </is>
      </c>
    </row>
    <row r="395">
      <c r="A395" t="inlineStr">
        <is>
          <t>【底牌首张定主】♥3 → 主=红桃</t>
        </is>
      </c>
    </row>
    <row r="396">
      <c r="A396" t="inlineStr">
        <is>
          <t>【埋底】庄家（玩4）埋 ♣3 ♥4 ♣8 ♦9, 取回 ♥3 ♥Q ♥5 ♣7</t>
        </is>
      </c>
    </row>
    <row r="397">
      <c r="A397" t="inlineStr">
        <is>
          <t xml:space="preserve">  埋底后底牌: ♣6 大王 ♣3 ♥4 ♣8 ♦9 (分值=0)</t>
        </is>
      </c>
    </row>
    <row r="398">
      <c r="A398" t="inlineStr">
        <is>
          <t>第1圈 [对子]: 玩4首出 → [玩4:♠Q ♥Q | 玩1:♠6 ♠7 | 玩2:♠3 ♠9 | 玩3:♠4 ♠5] → 赢: 玩4(♠Q) 分=5</t>
        </is>
      </c>
    </row>
    <row r="399">
      <c r="A399" t="inlineStr">
        <is>
          <t>第2圈 [对子]: 玩4首出 → [玩4:♠A ♦A | 玩1:♠8 ♠10 | 玩2:♣2 ♥2 | 玩3:小王] → 赢: 玩3(小王) 分=10</t>
        </is>
      </c>
    </row>
    <row r="400">
      <c r="A400" t="inlineStr">
        <is>
          <t>第3圈 [单张]: 玩3首出 → [玩3:♦6 | 玩4:♦J | 玩1:♦3 | 玩2:♦2] → 赢: 玩2(♦2) 分=0</t>
        </is>
      </c>
    </row>
    <row r="401">
      <c r="A401" t="inlineStr">
        <is>
          <t>第4圈 [单张]: 玩2首出 → [玩2:♦4 | 玩3:♦10 | 玩4:♦5 | 玩1:♦7] → 赢: 玩3(♦10) 分=15</t>
        </is>
      </c>
    </row>
    <row r="402">
      <c r="A402" t="inlineStr">
        <is>
          <t>第5圈 [单张]: 玩3首出 → [玩3:♥7 | 玩4:♥3 | 玩1:♥6 | 玩2:♥A] → 赢: 玩4(♥3) 分=0</t>
        </is>
      </c>
    </row>
    <row r="403">
      <c r="A403" t="inlineStr">
        <is>
          <t>第6圈 [单张]: 玩4首出 → [玩4:♣7 | 玩1:♣4 | 玩2:♣9 | 玩3:♣Q] → 赢: 玩3(♣Q) 分=0</t>
        </is>
      </c>
    </row>
    <row r="404">
      <c r="A404" t="inlineStr">
        <is>
          <t>第7圈 [单张]: 玩3首出 → [玩3:♥8 | 玩4:♥5 | 玩1:♥10 | 玩2:♥K] → 赢: 玩2(♥K) 分=25</t>
        </is>
      </c>
    </row>
    <row r="405">
      <c r="A405" t="inlineStr">
        <is>
          <t>第8圈 [单张]: 玩2首出 → [玩2:♣J | 玩3:♥9 | 玩4:♣5 | 玩1:♣A] → 赢: 玩1(♣A) 分=5</t>
        </is>
      </c>
    </row>
    <row r="406">
      <c r="A406" t="inlineStr">
        <is>
          <t>第9圈 [单张]: 玩1首出 → [玩1:♦8 | 玩2:♦Q | 玩3:♦K | 玩4:♠2] → 赢: 玩4(♠2) 分=10</t>
        </is>
      </c>
    </row>
    <row r="407">
      <c r="A407" t="inlineStr">
        <is>
          <t>第10圈 [单张]: 玩4首出 → [玩4:♣10 | 玩1:♠J | 玩2:♣K | 玩3:♥J] → 赢: 玩2(♣K) 分=20</t>
        </is>
      </c>
    </row>
    <row r="408">
      <c r="A408" t="inlineStr">
        <is>
          <t>第11圈 [单张]: 玩2首出 → [玩2:无 | 玩3:♠K | 玩4:无 | 玩1:无] → 赢: 玩3(♠K) 分=10</t>
        </is>
      </c>
    </row>
    <row r="409">
      <c r="A409" t="inlineStr">
        <is>
          <t>抓分方总分=100</t>
        </is>
      </c>
    </row>
    <row r="410">
      <c r="A410" t="inlineStr">
        <is>
          <t>结算: 抓分=100 扣底=是 庄方+0 抓方+9</t>
        </is>
      </c>
    </row>
    <row r="411">
      <c r="A411" t="inlineStr">
        <is>
          <t>级牌: 庄方 7→7 | 抓方 7→16</t>
        </is>
      </c>
    </row>
    <row r="412">
      <c r="A412" t="inlineStr">
        <is>
          <t>⚠️ 抓分方 16 &gt; 7，强制停在7，获得庄权，需再守庄一局</t>
        </is>
      </c>
    </row>
    <row r="413">
      <c r="A413" t="inlineStr">
        <is>
          <t>庄家变更: → 玩1</t>
        </is>
      </c>
    </row>
    <row r="414">
      <c r="A414" t="inlineStr">
        <is>
          <t>级牌重置: 庄家方=7 抓分方=7</t>
        </is>
      </c>
    </row>
    <row r="415">
      <c r="A415" t="inlineStr">
        <is>
          <t>守庄失败，对方上台继续</t>
        </is>
      </c>
    </row>
    <row r="416">
      <c r="A416" t="inlineStr">
        <is>
          <t>第8局结束 | 庄家方=7 抓分方=7</t>
        </is>
      </c>
    </row>
    <row r="417">
      <c r="A417" s="8" t="inlineStr">
        <is>
          <t>📊 结算</t>
        </is>
      </c>
    </row>
    <row r="418">
      <c r="A418" s="9" t="inlineStr">
        <is>
          <t>抓分方得分</t>
        </is>
      </c>
      <c r="C418" t="inlineStr">
        <is>
          <t>100</t>
        </is>
      </c>
    </row>
    <row r="419">
      <c r="A419" s="9" t="inlineStr">
        <is>
          <t>是否扣底</t>
        </is>
      </c>
      <c r="C419" t="inlineStr">
        <is>
          <t>是</t>
        </is>
      </c>
    </row>
    <row r="420">
      <c r="A420" s="9" t="inlineStr">
        <is>
          <t>扣底牌</t>
        </is>
      </c>
      <c r="C420" t="inlineStr">
        <is>
          <t>♠K</t>
        </is>
      </c>
    </row>
    <row r="421">
      <c r="A421" s="9" t="inlineStr">
        <is>
          <t>基础升级 抓方</t>
        </is>
      </c>
      <c r="C421" t="inlineStr">
        <is>
          <t>+6</t>
        </is>
      </c>
    </row>
    <row r="422">
      <c r="A422" s="9" t="inlineStr">
        <is>
          <t>扣底加成</t>
        </is>
      </c>
      <c r="C422" t="inlineStr">
        <is>
          <t>+3</t>
        </is>
      </c>
    </row>
    <row r="423">
      <c r="A423" s="9" t="inlineStr">
        <is>
          <t>总升级 抓方</t>
        </is>
      </c>
      <c r="C423" t="inlineStr">
        <is>
          <t>+9</t>
        </is>
      </c>
    </row>
    <row r="424">
      <c r="A424" s="9" t="inlineStr">
        <is>
          <t>总升级 庄方</t>
        </is>
      </c>
      <c r="C424" t="inlineStr">
        <is>
          <t>+0</t>
        </is>
      </c>
    </row>
    <row r="425">
      <c r="A425" s="9" t="inlineStr">
        <is>
          <t>结果</t>
        </is>
      </c>
      <c r="C425" t="inlineStr">
        <is>
          <t>上台过7（需守庄）</t>
        </is>
      </c>
    </row>
    <row r="428">
      <c r="A428" s="6" t="inlineStr">
        <is>
          <t>═══ 第9局 ─ 上台过7（需守庄） ═══</t>
        </is>
      </c>
    </row>
    <row r="429">
      <c r="A429" s="7" t="inlineStr">
        <is>
          <t>庄家</t>
        </is>
      </c>
      <c r="C429" t="inlineStr">
        <is>
          <t>玩家1</t>
        </is>
      </c>
    </row>
    <row r="430">
      <c r="A430" s="7" t="inlineStr">
        <is>
          <t>庄家方级牌</t>
        </is>
      </c>
      <c r="C430" t="inlineStr">
        <is>
          <t>7</t>
        </is>
      </c>
    </row>
    <row r="431">
      <c r="A431" s="7" t="inlineStr">
        <is>
          <t>抓分方级牌</t>
        </is>
      </c>
      <c r="C431" t="inlineStr">
        <is>
          <t>7</t>
        </is>
      </c>
    </row>
    <row r="432">
      <c r="A432" s="7" t="inlineStr">
        <is>
          <t>本局级牌</t>
        </is>
      </c>
      <c r="C432" t="inlineStr">
        <is>
          <t>7</t>
        </is>
      </c>
    </row>
    <row r="433">
      <c r="A433" s="7" t="inlineStr">
        <is>
          <t>庄家阵营</t>
        </is>
      </c>
      <c r="C433" t="inlineStr">
        <is>
          <t>玩家1、玩家3</t>
        </is>
      </c>
    </row>
    <row r="434">
      <c r="A434" s="7" t="inlineStr">
        <is>
          <t>抓分阵营</t>
        </is>
      </c>
      <c r="C434" t="inlineStr">
        <is>
          <t>玩家2、玩家4</t>
        </is>
      </c>
    </row>
    <row r="435">
      <c r="A435" s="7" t="inlineStr">
        <is>
          <t>定主方式</t>
        </is>
      </c>
      <c r="C435" t="inlineStr">
        <is>
          <t>bottom_card</t>
        </is>
      </c>
    </row>
    <row r="436">
      <c r="A436" s="7" t="inlineStr">
        <is>
          <t>主花色</t>
        </is>
      </c>
      <c r="C436" t="inlineStr">
        <is>
          <t>黑桃</t>
        </is>
      </c>
    </row>
    <row r="437">
      <c r="A437" s="8" t="inlineStr">
        <is>
          <t>📋 初始手牌</t>
        </is>
      </c>
    </row>
    <row r="438">
      <c r="A438" t="inlineStr">
        <is>
          <t>玩家1</t>
        </is>
      </c>
      <c r="B438" t="inlineStr">
        <is>
          <t>♦J ♠K 大王 ♠J ♦8 ♦9 ♣5 ♥4 ♥Q ♥5 ♦2 ♠6</t>
        </is>
      </c>
    </row>
    <row r="439">
      <c r="A439" t="inlineStr">
        <is>
          <t>玩家2</t>
        </is>
      </c>
      <c r="B439" t="inlineStr">
        <is>
          <t>♦7 ♣3 ♦5 小王 ♣A ♠8 ♥7 ♣8 ♦A ♣J ♣4 ♣9</t>
        </is>
      </c>
    </row>
    <row r="440">
      <c r="A440" t="inlineStr">
        <is>
          <t>玩家3</t>
        </is>
      </c>
      <c r="B440" t="inlineStr">
        <is>
          <t>♥10 ♦Q ♦4 ♦K ♣7 ♠7 ♣K ♦6 ♠10 ♥6 ♠9 ♠A</t>
        </is>
      </c>
    </row>
    <row r="441">
      <c r="A441" t="inlineStr">
        <is>
          <t>玩家4</t>
        </is>
      </c>
      <c r="B441" t="inlineStr">
        <is>
          <t>♠5 ♥3 ♥A ♥K ♥J ♦10 ♣Q ♣6 ♦3 ♠Q ♠3 ♣10</t>
        </is>
      </c>
    </row>
    <row r="442">
      <c r="A442" s="8" t="inlineStr">
        <is>
          <t>📦 底牌信息</t>
        </is>
      </c>
    </row>
    <row r="443">
      <c r="A443" t="inlineStr">
        <is>
          <t>初始底牌</t>
        </is>
      </c>
      <c r="B443" t="inlineStr">
        <is>
          <t>♠2 ♣2 ♥8 ♠4 ♥9 ♥2</t>
        </is>
      </c>
    </row>
    <row r="444">
      <c r="A444" t="inlineStr">
        <is>
          <t>庄家埋入</t>
        </is>
      </c>
      <c r="B444" t="inlineStr">
        <is>
          <t>♥4 ♠6 ♦8 ♦9 ♦J</t>
        </is>
      </c>
      <c r="D444" t="inlineStr">
        <is>
          <t>♥2 ♥4 ♠6 ♦8 ♦9 ♦J</t>
        </is>
      </c>
      <c r="E444" t="inlineStr">
        <is>
          <t>分值=0</t>
        </is>
      </c>
    </row>
    <row r="445">
      <c r="A445" s="8" t="inlineStr">
        <is>
          <t>📝 操作日志</t>
        </is>
      </c>
    </row>
    <row r="446">
      <c r="A446">
        <f>== 第9局 ===</f>
        <v/>
      </c>
    </row>
    <row r="447">
      <c r="A447" t="inlineStr">
        <is>
          <t>庄家方级牌=7, 抓分方级牌=7, 庄家=玩家1</t>
        </is>
      </c>
    </row>
    <row r="448">
      <c r="A448" t="inlineStr">
        <is>
          <t>庄家阵营: 玩1、玩3 | 抓分阵营: 玩2、玩4</t>
        </is>
      </c>
    </row>
    <row r="449">
      <c r="A449" t="inlineStr">
        <is>
          <t>发牌完成 | 底牌: ♠2 ♣2 ♥8 ♠4 ♥9 ♥2</t>
        </is>
      </c>
    </row>
    <row r="450">
      <c r="A450" t="inlineStr">
        <is>
          <t>【底牌首张定主】♠2 → 主=黑桃</t>
        </is>
      </c>
    </row>
    <row r="451">
      <c r="A451" t="inlineStr">
        <is>
          <t>【埋底】庄家（玩1）埋 ♥4 ♠6 ♦8 ♦9 ♦J, 取回 ♠2 ♣2 ♥8 ♠4 ♥9</t>
        </is>
      </c>
    </row>
    <row r="452">
      <c r="A452" t="inlineStr">
        <is>
          <t xml:space="preserve">  埋底后底牌: ♥2 ♥4 ♠6 ♦8 ♦9 ♦J (分值=0)</t>
        </is>
      </c>
    </row>
    <row r="453">
      <c r="A453" t="inlineStr">
        <is>
          <t>第1圈 [对子]: 玩1首出 → [玩1:♦2 ♠2 | 玩2:♦5 ♦7 | 玩3:♦4 ♦6 | 玩4:♦3 ♦10] → 赢: 玩1(♠2) 分=15</t>
        </is>
      </c>
    </row>
    <row r="454">
      <c r="A454" t="inlineStr">
        <is>
          <t>第2圈 [单张]: 玩1首出 → [玩1:♠4 | 玩2:♠8 | 玩3:♠7 | 玩4:♠3] → 赢: 玩2(♠8) 分=0</t>
        </is>
      </c>
    </row>
    <row r="455">
      <c r="A455" t="inlineStr">
        <is>
          <t>第3圈 [对子]: 玩2首出 → [玩2:♣A ♦A | 玩3:♣7 ♣K | 玩4:♣6 ♣10 | 玩1:♣2 ♣5] → 赢: 玩1(♣2) 分=25</t>
        </is>
      </c>
    </row>
    <row r="456">
      <c r="A456" t="inlineStr">
        <is>
          <t>第4圈 [单张]: 玩1首出 → [玩1:♥8 | 玩2:♥7 | 玩3:♥6 | 玩4:♥3] → 赢: 玩4(♥3) 分=0</t>
        </is>
      </c>
    </row>
    <row r="457">
      <c r="A457" t="inlineStr">
        <is>
          <t>第5圈 [对子]: 玩4首出 → [玩4:♣Q ♠Q | 玩1:♥5 ♥9 | 玩2:♣3 ♣4 | 玩3:♠9 ♥10] → 赢: 玩4(♣Q) 分=15</t>
        </is>
      </c>
    </row>
    <row r="458">
      <c r="A458" t="inlineStr">
        <is>
          <t>第6圈 [单张]: 玩4首出 → [玩4:♥J | 玩1:♥Q | 玩2:♣8 | 玩3:♠10] → 赢: 玩1(♥Q) 分=10</t>
        </is>
      </c>
    </row>
    <row r="459">
      <c r="A459" t="inlineStr">
        <is>
          <t>第7圈 [单张]: 玩1首出 → [玩1:♠J | 玩2:♣9 | 玩3:♠A | 玩4:♠5] → 赢: 玩3(♠A) 分=5</t>
        </is>
      </c>
    </row>
    <row r="460">
      <c r="A460" t="inlineStr">
        <is>
          <t>第8圈 [单张]: 玩3首出 → [玩3:♦Q | 玩4:♥K | 玩1:大王 | 玩2:♣J] → 赢: 玩1(大王) 分=10</t>
        </is>
      </c>
    </row>
    <row r="461">
      <c r="A461" t="inlineStr">
        <is>
          <t>第9圈 [单张]: 玩1首出 → [玩1:♠K | 玩2:小王 | 玩3:♦K | 玩4:♥A] → 赢: 玩2(小王) 分=20</t>
        </is>
      </c>
    </row>
    <row r="462">
      <c r="A462" t="inlineStr">
        <is>
          <t>抓分方总分=100</t>
        </is>
      </c>
    </row>
    <row r="463">
      <c r="A463" t="inlineStr">
        <is>
          <t>结算: 抓分=100 扣底=是 庄方+0 抓方+9</t>
        </is>
      </c>
    </row>
    <row r="464">
      <c r="A464" t="inlineStr">
        <is>
          <t>级牌: 庄方 7→7 | 抓方 7→16</t>
        </is>
      </c>
    </row>
    <row r="465">
      <c r="A465" t="inlineStr">
        <is>
          <t>⚠️ 抓分方 16 &gt; 7，强制停在7，获得庄权，需再守庄一局</t>
        </is>
      </c>
    </row>
    <row r="466">
      <c r="A466" t="inlineStr">
        <is>
          <t>庄家变更: → 玩2</t>
        </is>
      </c>
    </row>
    <row r="467">
      <c r="A467" t="inlineStr">
        <is>
          <t>级牌重置: 庄家方=7 抓分方=7</t>
        </is>
      </c>
    </row>
    <row r="468">
      <c r="A468" t="inlineStr">
        <is>
          <t>守庄失败，对方上台继续</t>
        </is>
      </c>
    </row>
    <row r="469">
      <c r="A469" t="inlineStr">
        <is>
          <t>第9局结束 | 庄家方=7 抓分方=7</t>
        </is>
      </c>
    </row>
    <row r="470">
      <c r="A470" s="8" t="inlineStr">
        <is>
          <t>📊 结算</t>
        </is>
      </c>
    </row>
    <row r="471">
      <c r="A471" s="9" t="inlineStr">
        <is>
          <t>抓分方得分</t>
        </is>
      </c>
      <c r="C471" t="inlineStr">
        <is>
          <t>100</t>
        </is>
      </c>
    </row>
    <row r="472">
      <c r="A472" s="9" t="inlineStr">
        <is>
          <t>是否扣底</t>
        </is>
      </c>
      <c r="C472" t="inlineStr">
        <is>
          <t>是</t>
        </is>
      </c>
    </row>
    <row r="473">
      <c r="A473" s="9" t="inlineStr">
        <is>
          <t>扣底牌</t>
        </is>
      </c>
      <c r="C473" t="inlineStr">
        <is>
          <t>小王</t>
        </is>
      </c>
    </row>
    <row r="474">
      <c r="A474" s="9" t="inlineStr">
        <is>
          <t>基础升级 抓方</t>
        </is>
      </c>
      <c r="C474" t="inlineStr">
        <is>
          <t>+6</t>
        </is>
      </c>
    </row>
    <row r="475">
      <c r="A475" s="9" t="inlineStr">
        <is>
          <t>扣底加成</t>
        </is>
      </c>
      <c r="C475" t="inlineStr">
        <is>
          <t>+3</t>
        </is>
      </c>
    </row>
    <row r="476">
      <c r="A476" s="9" t="inlineStr">
        <is>
          <t>总升级 抓方</t>
        </is>
      </c>
      <c r="C476" t="inlineStr">
        <is>
          <t>+9</t>
        </is>
      </c>
    </row>
    <row r="477">
      <c r="A477" s="9" t="inlineStr">
        <is>
          <t>总升级 庄方</t>
        </is>
      </c>
      <c r="C477" t="inlineStr">
        <is>
          <t>+0</t>
        </is>
      </c>
    </row>
    <row r="478">
      <c r="A478" s="9" t="inlineStr">
        <is>
          <t>结果</t>
        </is>
      </c>
      <c r="C478" t="inlineStr">
        <is>
          <t>上台过7（需守庄）</t>
        </is>
      </c>
    </row>
    <row r="481">
      <c r="A481" s="6" t="inlineStr">
        <is>
          <t>═══ 第10局 ─ 上台过7（需守庄） ═══</t>
        </is>
      </c>
    </row>
    <row r="482">
      <c r="A482" s="7" t="inlineStr">
        <is>
          <t>庄家</t>
        </is>
      </c>
      <c r="C482" t="inlineStr">
        <is>
          <t>玩家2</t>
        </is>
      </c>
    </row>
    <row r="483">
      <c r="A483" s="7" t="inlineStr">
        <is>
          <t>庄家方级牌</t>
        </is>
      </c>
      <c r="C483" t="inlineStr">
        <is>
          <t>7</t>
        </is>
      </c>
    </row>
    <row r="484">
      <c r="A484" s="7" t="inlineStr">
        <is>
          <t>抓分方级牌</t>
        </is>
      </c>
      <c r="C484" t="inlineStr">
        <is>
          <t>7</t>
        </is>
      </c>
    </row>
    <row r="485">
      <c r="A485" s="7" t="inlineStr">
        <is>
          <t>本局级牌</t>
        </is>
      </c>
      <c r="C485" t="inlineStr">
        <is>
          <t>7</t>
        </is>
      </c>
    </row>
    <row r="486">
      <c r="A486" s="7" t="inlineStr">
        <is>
          <t>庄家阵营</t>
        </is>
      </c>
      <c r="C486" t="inlineStr">
        <is>
          <t>玩家2、玩家4</t>
        </is>
      </c>
    </row>
    <row r="487">
      <c r="A487" s="7" t="inlineStr">
        <is>
          <t>抓分阵营</t>
        </is>
      </c>
      <c r="C487" t="inlineStr">
        <is>
          <t>玩家3、玩家1</t>
        </is>
      </c>
    </row>
    <row r="488">
      <c r="A488" s="7" t="inlineStr">
        <is>
          <t>定主方式</t>
        </is>
      </c>
      <c r="C488" t="inlineStr">
        <is>
          <t>bottom_card</t>
        </is>
      </c>
    </row>
    <row r="489">
      <c r="A489" s="7" t="inlineStr">
        <is>
          <t>主花色</t>
        </is>
      </c>
      <c r="C489" t="inlineStr">
        <is>
          <t>草花</t>
        </is>
      </c>
    </row>
    <row r="490">
      <c r="A490" s="8" t="inlineStr">
        <is>
          <t>📋 初始手牌</t>
        </is>
      </c>
    </row>
    <row r="491">
      <c r="A491" t="inlineStr">
        <is>
          <t>玩家1</t>
        </is>
      </c>
      <c r="B491" t="inlineStr">
        <is>
          <t>♣9 ♠5 ♣8 ♦3 ♦A ♠9 ♥K ♣3 ♠Q ♥3 小王 ♥4</t>
        </is>
      </c>
    </row>
    <row r="492">
      <c r="A492" t="inlineStr">
        <is>
          <t>玩家2</t>
        </is>
      </c>
      <c r="B492" t="inlineStr">
        <is>
          <t>♥10 ♦J ♠6 ♥2 ♠2 ♣10 ♦K ♥J ♥7 ♣7 ♦7 ♥6</t>
        </is>
      </c>
    </row>
    <row r="493">
      <c r="A493" t="inlineStr">
        <is>
          <t>玩家3</t>
        </is>
      </c>
      <c r="B493" t="inlineStr">
        <is>
          <t>♠7 ♦Q ♣6 ♠3 ♦2 ♦5 ♦4 ♣J ♥A ♥8 ♣2 ♦9</t>
        </is>
      </c>
    </row>
    <row r="494">
      <c r="A494" t="inlineStr">
        <is>
          <t>玩家4</t>
        </is>
      </c>
      <c r="B494" t="inlineStr">
        <is>
          <t>♣Q ♠8 ♣K ♥5 ♠4 ♦6 ♠K ♠10 ♠A ♥9 ♣5 ♦10</t>
        </is>
      </c>
    </row>
    <row r="495">
      <c r="A495" s="8" t="inlineStr">
        <is>
          <t>📦 底牌信息</t>
        </is>
      </c>
    </row>
    <row r="496">
      <c r="A496" t="inlineStr">
        <is>
          <t>初始底牌</t>
        </is>
      </c>
      <c r="B496" t="inlineStr">
        <is>
          <t>♣A ♥Q 大王 ♣4 ♠J ♦8</t>
        </is>
      </c>
    </row>
    <row r="497">
      <c r="A497" t="inlineStr">
        <is>
          <t>庄家埋入</t>
        </is>
      </c>
      <c r="B497" t="inlineStr">
        <is>
          <t>♠6 ♥6 ♥7</t>
        </is>
      </c>
      <c r="D497" t="inlineStr">
        <is>
          <t>♣4 ♠J ♦8 ♠6 ♥6 ♥7</t>
        </is>
      </c>
      <c r="E497" t="inlineStr">
        <is>
          <t>分值=0</t>
        </is>
      </c>
    </row>
    <row r="498">
      <c r="A498" s="8" t="inlineStr">
        <is>
          <t>📝 操作日志</t>
        </is>
      </c>
    </row>
    <row r="499">
      <c r="A499">
        <f>== 第10局 ===</f>
        <v/>
      </c>
    </row>
    <row r="500">
      <c r="A500" t="inlineStr">
        <is>
          <t>庄家方级牌=7, 抓分方级牌=7, 庄家=玩家2</t>
        </is>
      </c>
    </row>
    <row r="501">
      <c r="A501" t="inlineStr">
        <is>
          <t>庄家阵营: 玩2、玩4 | 抓分阵营: 玩3、玩1</t>
        </is>
      </c>
    </row>
    <row r="502">
      <c r="A502" t="inlineStr">
        <is>
          <t>发牌完成 | 底牌: ♣A ♥Q 大王 ♣4 ♠J ♦8</t>
        </is>
      </c>
    </row>
    <row r="503">
      <c r="A503" t="inlineStr">
        <is>
          <t>【底牌首张定主】♣A → 主=草花</t>
        </is>
      </c>
    </row>
    <row r="504">
      <c r="A504" t="inlineStr">
        <is>
          <t>【埋底】庄家（玩2）埋 ♠6 ♥6 ♥7, 取回 ♣A ♥Q 大王</t>
        </is>
      </c>
    </row>
    <row r="505">
      <c r="A505" t="inlineStr">
        <is>
          <t xml:space="preserve">  埋底后底牌: ♣4 ♠J ♦8 ♠6 ♥6 ♥7 (分值=0)</t>
        </is>
      </c>
    </row>
    <row r="506">
      <c r="A506" t="inlineStr">
        <is>
          <t>第1圈 [对子]: 玩2首出 → [玩2:♦J ♥J | 玩3:♦2 ♦4 | 玩4:♦6 ♦10 | 玩1:♦3 ♦A] → 赢: 玩3(♦2) 分=10</t>
        </is>
      </c>
    </row>
    <row r="507">
      <c r="A507" t="inlineStr">
        <is>
          <t>第2圈 [单张]: 玩3首出 → [玩3:♠3 | 玩4:♠4 | 玩1:♠9 | 玩2:♠2] → 赢: 玩2(♠2) 分=0</t>
        </is>
      </c>
    </row>
    <row r="508">
      <c r="A508" t="inlineStr">
        <is>
          <t>第3圈 [对子]: 玩2首出 → [玩2:♣7 ♦7 | 玩3:♣2 ♣6 | 玩4:♣5 ♣Q | 玩1:♣3 ♣8] → 赢: 玩3(♣2) 分=5</t>
        </is>
      </c>
    </row>
    <row r="509">
      <c r="A509" t="inlineStr">
        <is>
          <t>第4圈 [单张]: 玩3首出 → [玩3:♠7 | 玩4:♠8 | 玩1:♠Q | 玩2:♥10] → 赢: 玩1(♠Q) 分=10</t>
        </is>
      </c>
    </row>
    <row r="510">
      <c r="A510" t="inlineStr">
        <is>
          <t>第5圈 [单张]: 玩1首出 → [玩1:♥4 | 玩2:♥2 | 玩3:♥8 | 玩4:♥9] → 赢: 玩2(♥2) 分=0</t>
        </is>
      </c>
    </row>
    <row r="511">
      <c r="A511" t="inlineStr">
        <is>
          <t>第6圈 [单张]: 玩2首出 → [玩2:♥Q | 玩3:♥A | 玩4:♥5 | 玩1:♥3] → 赢: 玩1(♥3) 分=5</t>
        </is>
      </c>
    </row>
    <row r="512">
      <c r="A512" t="inlineStr">
        <is>
          <t>第7圈 [单张]: 玩1首出 → [玩1:♣9 | 玩2:♣A | 玩3:♣J | 玩4:♣K] → 赢: 玩2(♣A) 分=10</t>
        </is>
      </c>
    </row>
    <row r="513">
      <c r="A513" t="inlineStr">
        <is>
          <t>第8圈 [单张]: 玩2首出 → [玩2:大王 | 玩3:♦5 | 玩4:♠10 | 玩1:小王] → 赢: 玩2(大王) 分=15</t>
        </is>
      </c>
    </row>
    <row r="514">
      <c r="A514" t="inlineStr">
        <is>
          <t>第9圈 [单张]: 玩2首出 → [玩2:♣10 | 玩3:♦9 | 玩4:♠K | 玩1:♠5] → 赢: 玩2(♣10) 分=25</t>
        </is>
      </c>
    </row>
    <row r="515">
      <c r="A515" t="inlineStr">
        <is>
          <t>第10圈 [单张]: 玩2首出 → [玩2:♦K | 玩3:♦Q | 玩4:♠A | 玩1:♥K] → 赢: 玩2(♦K) 分=20</t>
        </is>
      </c>
    </row>
    <row r="516">
      <c r="A516" t="inlineStr">
        <is>
          <t>抓分方总分=100</t>
        </is>
      </c>
    </row>
    <row r="517">
      <c r="A517" t="inlineStr">
        <is>
          <t>结算: 抓分=100 扣底=否 庄方+0 抓方+6</t>
        </is>
      </c>
    </row>
    <row r="518">
      <c r="A518" t="inlineStr">
        <is>
          <t>级牌: 庄方 7→7 | 抓方 7→13</t>
        </is>
      </c>
    </row>
    <row r="519">
      <c r="A519" t="inlineStr">
        <is>
          <t>⚠️ 抓分方 13 &gt; 7，强制停在7，获得庄权，需再守庄一局</t>
        </is>
      </c>
    </row>
    <row r="520">
      <c r="A520" t="inlineStr">
        <is>
          <t>庄家变更: → 玩3</t>
        </is>
      </c>
    </row>
    <row r="521">
      <c r="A521" t="inlineStr">
        <is>
          <t>级牌重置: 庄家方=7 抓分方=7</t>
        </is>
      </c>
    </row>
    <row r="522">
      <c r="A522" t="inlineStr">
        <is>
          <t>守庄失败，对方上台继续</t>
        </is>
      </c>
    </row>
    <row r="523">
      <c r="A523" t="inlineStr">
        <is>
          <t>第10局结束 | 庄家方=7 抓分方=7</t>
        </is>
      </c>
    </row>
    <row r="524">
      <c r="A524" s="8" t="inlineStr">
        <is>
          <t>📊 结算</t>
        </is>
      </c>
    </row>
    <row r="525">
      <c r="A525" s="9" t="inlineStr">
        <is>
          <t>抓分方得分</t>
        </is>
      </c>
      <c r="C525" t="inlineStr">
        <is>
          <t>100</t>
        </is>
      </c>
    </row>
    <row r="526">
      <c r="A526" s="9" t="inlineStr">
        <is>
          <t>是否扣底</t>
        </is>
      </c>
      <c r="C526" t="inlineStr">
        <is>
          <t>否</t>
        </is>
      </c>
    </row>
    <row r="527">
      <c r="A527" s="9" t="inlineStr">
        <is>
          <t>扣底牌</t>
        </is>
      </c>
      <c r="C527" t="inlineStr">
        <is>
          <t>♦K</t>
        </is>
      </c>
    </row>
    <row r="528">
      <c r="A528" s="9" t="inlineStr">
        <is>
          <t>基础升级 抓方</t>
        </is>
      </c>
      <c r="C528" t="inlineStr">
        <is>
          <t>+6</t>
        </is>
      </c>
    </row>
    <row r="529">
      <c r="A529" s="9" t="inlineStr">
        <is>
          <t>扣底加成</t>
        </is>
      </c>
      <c r="C529" t="inlineStr">
        <is>
          <t>无</t>
        </is>
      </c>
    </row>
    <row r="530">
      <c r="A530" s="9" t="inlineStr">
        <is>
          <t>总升级 抓方</t>
        </is>
      </c>
      <c r="C530" t="inlineStr">
        <is>
          <t>+6</t>
        </is>
      </c>
    </row>
    <row r="531">
      <c r="A531" s="9" t="inlineStr">
        <is>
          <t>总升级 庄方</t>
        </is>
      </c>
      <c r="C531" t="inlineStr">
        <is>
          <t>+0</t>
        </is>
      </c>
    </row>
    <row r="532">
      <c r="A532" s="9" t="inlineStr">
        <is>
          <t>结果</t>
        </is>
      </c>
      <c r="C532" t="inlineStr">
        <is>
          <t>上台过7（需守庄）</t>
        </is>
      </c>
    </row>
    <row r="535">
      <c r="A535" s="6" t="inlineStr">
        <is>
          <t>═══ 第11局 ─ 上台过7（需守庄） ═══</t>
        </is>
      </c>
    </row>
    <row r="536">
      <c r="A536" s="7" t="inlineStr">
        <is>
          <t>庄家</t>
        </is>
      </c>
      <c r="C536" t="inlineStr">
        <is>
          <t>玩家3</t>
        </is>
      </c>
    </row>
    <row r="537">
      <c r="A537" s="7" t="inlineStr">
        <is>
          <t>庄家方级牌</t>
        </is>
      </c>
      <c r="C537" t="inlineStr">
        <is>
          <t>7</t>
        </is>
      </c>
    </row>
    <row r="538">
      <c r="A538" s="7" t="inlineStr">
        <is>
          <t>抓分方级牌</t>
        </is>
      </c>
      <c r="C538" t="inlineStr">
        <is>
          <t>7</t>
        </is>
      </c>
    </row>
    <row r="539">
      <c r="A539" s="7" t="inlineStr">
        <is>
          <t>本局级牌</t>
        </is>
      </c>
      <c r="C539" t="inlineStr">
        <is>
          <t>7</t>
        </is>
      </c>
    </row>
    <row r="540">
      <c r="A540" s="7" t="inlineStr">
        <is>
          <t>庄家阵营</t>
        </is>
      </c>
      <c r="C540" t="inlineStr">
        <is>
          <t>玩家3、玩家1</t>
        </is>
      </c>
    </row>
    <row r="541">
      <c r="A541" s="7" t="inlineStr">
        <is>
          <t>抓分阵营</t>
        </is>
      </c>
      <c r="C541" t="inlineStr">
        <is>
          <t>玩家4、玩家2</t>
        </is>
      </c>
    </row>
    <row r="542">
      <c r="A542" s="7" t="inlineStr">
        <is>
          <t>定主方式</t>
        </is>
      </c>
      <c r="C542" t="inlineStr">
        <is>
          <t>bottom_card</t>
        </is>
      </c>
    </row>
    <row r="543">
      <c r="A543" s="7" t="inlineStr">
        <is>
          <t>主花色</t>
        </is>
      </c>
      <c r="C543" t="inlineStr">
        <is>
          <t>草花</t>
        </is>
      </c>
    </row>
    <row r="544">
      <c r="A544" s="8" t="inlineStr">
        <is>
          <t>📋 初始手牌</t>
        </is>
      </c>
    </row>
    <row r="545">
      <c r="A545" t="inlineStr">
        <is>
          <t>玩家1</t>
        </is>
      </c>
      <c r="B545" t="inlineStr">
        <is>
          <t>♣8 ♦8 ♣5 ♠2 ♥6 ♠A ♦9 ♥10 ♣9 ♠10 ♠3 ♠5</t>
        </is>
      </c>
    </row>
    <row r="546">
      <c r="A546" t="inlineStr">
        <is>
          <t>玩家2</t>
        </is>
      </c>
      <c r="B546" t="inlineStr">
        <is>
          <t>♣A ♠8 ♥2 ♥3 ♠6 ♦6 大王 ♠Q ♦2 小王 ♠4 ♦5</t>
        </is>
      </c>
    </row>
    <row r="547">
      <c r="A547" t="inlineStr">
        <is>
          <t>玩家3</t>
        </is>
      </c>
      <c r="B547" t="inlineStr">
        <is>
          <t>♣10 ♥Q ♦4 ♥7 ♦7 ♣K ♥8 ♠J ♥A ♣3 ♥K ♦J</t>
        </is>
      </c>
    </row>
    <row r="548">
      <c r="A548" t="inlineStr">
        <is>
          <t>玩家4</t>
        </is>
      </c>
      <c r="B548" t="inlineStr">
        <is>
          <t>♠9 ♦K ♣2 ♣6 ♠7 ♥J ♦3 ♦Q ♠K ♥9 ♣7 ♣J</t>
        </is>
      </c>
    </row>
    <row r="549">
      <c r="A549" s="8" t="inlineStr">
        <is>
          <t>📦 底牌信息</t>
        </is>
      </c>
    </row>
    <row r="550">
      <c r="A550" t="inlineStr">
        <is>
          <t>初始底牌</t>
        </is>
      </c>
      <c r="B550" t="inlineStr">
        <is>
          <t>♣4 ♦A ♥4 ♦10 ♥5 ♣Q</t>
        </is>
      </c>
    </row>
    <row r="551">
      <c r="A551" t="inlineStr">
        <is>
          <t>庄家埋入</t>
        </is>
      </c>
      <c r="B551" t="inlineStr">
        <is>
          <t>♣3 ♦4 ♥7 ♦7 ♥8</t>
        </is>
      </c>
      <c r="D551" t="inlineStr">
        <is>
          <t>♣Q ♣3 ♦4 ♥7 ♦7 ♥8</t>
        </is>
      </c>
      <c r="E551" t="inlineStr">
        <is>
          <t>分值=0</t>
        </is>
      </c>
    </row>
    <row r="552">
      <c r="A552" s="8" t="inlineStr">
        <is>
          <t>📝 操作日志</t>
        </is>
      </c>
    </row>
    <row r="553">
      <c r="A553">
        <f>== 第11局 ===</f>
        <v/>
      </c>
    </row>
    <row r="554">
      <c r="A554" t="inlineStr">
        <is>
          <t>庄家方级牌=7, 抓分方级牌=7, 庄家=玩家3</t>
        </is>
      </c>
    </row>
    <row r="555">
      <c r="A555" t="inlineStr">
        <is>
          <t>庄家阵营: 玩3、玩1 | 抓分阵营: 玩4、玩2</t>
        </is>
      </c>
    </row>
    <row r="556">
      <c r="A556" t="inlineStr">
        <is>
          <t>发牌完成 | 底牌: ♣4 ♦A ♥4 ♦10 ♥5 ♣Q</t>
        </is>
      </c>
    </row>
    <row r="557">
      <c r="A557" t="inlineStr">
        <is>
          <t>【底牌首张定主】♣4 → 主=草花</t>
        </is>
      </c>
    </row>
    <row r="558">
      <c r="A558" t="inlineStr">
        <is>
          <t>【埋底】庄家（玩3）埋 ♣3 ♦4 ♥7 ♦7 ♥8, 取回 ♣4 ♦A ♥4 ♦10 ♥5</t>
        </is>
      </c>
    </row>
    <row r="559">
      <c r="A559" t="inlineStr">
        <is>
          <t xml:space="preserve">  埋底后底牌: ♣Q ♣3 ♦4 ♥7 ♦7 ♥8 (分值=0)</t>
        </is>
      </c>
    </row>
    <row r="560">
      <c r="A560" t="inlineStr">
        <is>
          <t>第1圈 [对子]: 玩3首出 → [玩3:♠J ♦J | 玩4:♠7 ♠9 | 玩1:♠2 ♠3 | 玩2:♠4 ♠6] → 赢: 玩1(♠2) 分=0</t>
        </is>
      </c>
    </row>
    <row r="561">
      <c r="A561" t="inlineStr">
        <is>
          <t>第2圈 [对子]: 玩1首出 → [玩1:♦9 ♣9 | 玩2:♦2 ♦5 | 玩3:♦10 ♦A | 玩4:♦3 ♦Q] → 赢: 玩2(♦2) 分=15</t>
        </is>
      </c>
    </row>
    <row r="562">
      <c r="A562" t="inlineStr">
        <is>
          <t>第3圈 [单张]: 玩2首出 → [玩2:♦6 | 玩3:♣4 | 玩4:♦K | 玩1:♦8] → 赢: 玩4(♦K) 分=10</t>
        </is>
      </c>
    </row>
    <row r="563">
      <c r="A563" t="inlineStr">
        <is>
          <t>第4圈 [对子]: 玩4首出 → [玩4:♥J ♣J | 玩1:♥6 ♥10 | 玩2:♥2 ♥3 | 玩3:♥4 ♥5] → 赢: 玩2(♥3) 分=15</t>
        </is>
      </c>
    </row>
    <row r="564">
      <c r="A564" t="inlineStr">
        <is>
          <t>第5圈 [单张]: 玩2首出 → [玩2:♠8 | 玩3:♣10 | 玩4:♠K | 玩1:♠A] → 赢: 玩1(♠A) 分=20</t>
        </is>
      </c>
    </row>
    <row r="565">
      <c r="A565" t="inlineStr">
        <is>
          <t>第6圈 [单张]: 玩1首出 → [玩1:♣8 | 玩2:♣A | 玩3:♣K | 玩4:♣2] → 赢: 玩4(♣2) 分=10</t>
        </is>
      </c>
    </row>
    <row r="566">
      <c r="A566" t="inlineStr">
        <is>
          <t>第7圈 [单张]: 玩4首出 → [玩4:♣6 | 玩1:♣5 | 玩2:小王 | 玩3:♥Q] → 赢: 玩2(小王) 分=5</t>
        </is>
      </c>
    </row>
    <row r="567">
      <c r="A567" t="inlineStr">
        <is>
          <t>第8圈 [单张]: 玩2首出 → [玩2:♠Q | 玩3:♥K | 玩4:♣7 | 玩1:♠5] → 赢: 玩2(♠Q) 分=15</t>
        </is>
      </c>
    </row>
    <row r="568">
      <c r="A568" t="inlineStr">
        <is>
          <t>第9圈 [单张]: 玩2首出 → [玩2:大王 | 玩3:♥A | 玩4:♥9 | 玩1:♠10] → 赢: 玩2(大王) 分=10</t>
        </is>
      </c>
    </row>
    <row r="569">
      <c r="A569" t="inlineStr">
        <is>
          <t>抓分方总分=100</t>
        </is>
      </c>
    </row>
    <row r="570">
      <c r="A570" t="inlineStr">
        <is>
          <t>结算: 抓分=100 扣底=是 庄方+0 抓方+10</t>
        </is>
      </c>
    </row>
    <row r="571">
      <c r="A571" t="inlineStr">
        <is>
          <t>级牌: 庄方 7→7 | 抓方 7→17</t>
        </is>
      </c>
    </row>
    <row r="572">
      <c r="A572" t="inlineStr">
        <is>
          <t>⚠️ 抓分方 17 &gt; 7，强制停在7，获得庄权，需再守庄一局</t>
        </is>
      </c>
    </row>
    <row r="573">
      <c r="A573" t="inlineStr">
        <is>
          <t>庄家变更: → 玩4</t>
        </is>
      </c>
    </row>
    <row r="574">
      <c r="A574" t="inlineStr">
        <is>
          <t>级牌重置: 庄家方=7 抓分方=7</t>
        </is>
      </c>
    </row>
    <row r="575">
      <c r="A575" t="inlineStr">
        <is>
          <t>守庄失败，对方上台继续</t>
        </is>
      </c>
    </row>
    <row r="576">
      <c r="A576" t="inlineStr">
        <is>
          <t>第11局结束 | 庄家方=7 抓分方=7</t>
        </is>
      </c>
    </row>
    <row r="577">
      <c r="A577" s="8" t="inlineStr">
        <is>
          <t>📊 结算</t>
        </is>
      </c>
    </row>
    <row r="578">
      <c r="A578" s="9" t="inlineStr">
        <is>
          <t>抓分方得分</t>
        </is>
      </c>
      <c r="C578" t="inlineStr">
        <is>
          <t>100</t>
        </is>
      </c>
    </row>
    <row r="579">
      <c r="A579" s="9" t="inlineStr">
        <is>
          <t>是否扣底</t>
        </is>
      </c>
      <c r="C579" t="inlineStr">
        <is>
          <t>是</t>
        </is>
      </c>
    </row>
    <row r="580">
      <c r="A580" s="9" t="inlineStr">
        <is>
          <t>扣底牌</t>
        </is>
      </c>
      <c r="C580" t="inlineStr">
        <is>
          <t>大王</t>
        </is>
      </c>
    </row>
    <row r="581">
      <c r="A581" s="9" t="inlineStr">
        <is>
          <t>基础升级 抓方</t>
        </is>
      </c>
      <c r="C581" t="inlineStr">
        <is>
          <t>+6</t>
        </is>
      </c>
    </row>
    <row r="582">
      <c r="A582" s="9" t="inlineStr">
        <is>
          <t>扣底加成</t>
        </is>
      </c>
      <c r="C582" t="inlineStr">
        <is>
          <t>+4</t>
        </is>
      </c>
    </row>
    <row r="583">
      <c r="A583" s="9" t="inlineStr">
        <is>
          <t>总升级 抓方</t>
        </is>
      </c>
      <c r="C583" t="inlineStr">
        <is>
          <t>+10</t>
        </is>
      </c>
    </row>
    <row r="584">
      <c r="A584" s="9" t="inlineStr">
        <is>
          <t>总升级 庄方</t>
        </is>
      </c>
      <c r="C584" t="inlineStr">
        <is>
          <t>+0</t>
        </is>
      </c>
    </row>
    <row r="585">
      <c r="A585" s="9" t="inlineStr">
        <is>
          <t>结果</t>
        </is>
      </c>
      <c r="C585" t="inlineStr">
        <is>
          <t>上台过7（需守庄）</t>
        </is>
      </c>
    </row>
    <row r="588">
      <c r="A588" s="6" t="inlineStr">
        <is>
          <t>═══ 第12局 ─ 上台过7（需守庄） ═══</t>
        </is>
      </c>
    </row>
    <row r="589">
      <c r="A589" s="7" t="inlineStr">
        <is>
          <t>庄家</t>
        </is>
      </c>
      <c r="C589" t="inlineStr">
        <is>
          <t>玩家4</t>
        </is>
      </c>
    </row>
    <row r="590">
      <c r="A590" s="7" t="inlineStr">
        <is>
          <t>庄家方级牌</t>
        </is>
      </c>
      <c r="C590" t="inlineStr">
        <is>
          <t>7</t>
        </is>
      </c>
    </row>
    <row r="591">
      <c r="A591" s="7" t="inlineStr">
        <is>
          <t>抓分方级牌</t>
        </is>
      </c>
      <c r="C591" t="inlineStr">
        <is>
          <t>7</t>
        </is>
      </c>
    </row>
    <row r="592">
      <c r="A592" s="7" t="inlineStr">
        <is>
          <t>本局级牌</t>
        </is>
      </c>
      <c r="C592" t="inlineStr">
        <is>
          <t>7</t>
        </is>
      </c>
    </row>
    <row r="593">
      <c r="A593" s="7" t="inlineStr">
        <is>
          <t>庄家阵营</t>
        </is>
      </c>
      <c r="C593" t="inlineStr">
        <is>
          <t>玩家4、玩家2</t>
        </is>
      </c>
    </row>
    <row r="594">
      <c r="A594" s="7" t="inlineStr">
        <is>
          <t>抓分阵营</t>
        </is>
      </c>
      <c r="C594" t="inlineStr">
        <is>
          <t>玩家1、玩家3</t>
        </is>
      </c>
    </row>
    <row r="595">
      <c r="A595" s="7" t="inlineStr">
        <is>
          <t>定主方式</t>
        </is>
      </c>
      <c r="C595" t="inlineStr">
        <is>
          <t>bottom_card</t>
        </is>
      </c>
    </row>
    <row r="596">
      <c r="A596" s="7" t="inlineStr">
        <is>
          <t>主花色</t>
        </is>
      </c>
      <c r="C596" t="inlineStr">
        <is>
          <t>黑桃</t>
        </is>
      </c>
    </row>
    <row r="597">
      <c r="A597" s="8" t="inlineStr">
        <is>
          <t>📋 初始手牌</t>
        </is>
      </c>
    </row>
    <row r="598">
      <c r="A598" t="inlineStr">
        <is>
          <t>玩家1</t>
        </is>
      </c>
      <c r="B598" t="inlineStr">
        <is>
          <t>♥2 ♣9 ♥3 ♦2 ♣K 小王 ♠3 ♦7 ♦8 ♠Q ♣7 ♠10</t>
        </is>
      </c>
    </row>
    <row r="599">
      <c r="A599" t="inlineStr">
        <is>
          <t>玩家2</t>
        </is>
      </c>
      <c r="B599" t="inlineStr">
        <is>
          <t>♣J ♣Q ♠J ♠4 ♥5 ♠K ♣3 ♣6 ♥9 ♠6 ♠A ♦Q</t>
        </is>
      </c>
    </row>
    <row r="600">
      <c r="A600" t="inlineStr">
        <is>
          <t>玩家3</t>
        </is>
      </c>
      <c r="B600" t="inlineStr">
        <is>
          <t>♣5 ♠5 ♣A ♠7 ♦K ♣10 ♠8 ♥10 ♦A ♣8 ♦5 ♦4</t>
        </is>
      </c>
    </row>
    <row r="601">
      <c r="A601" t="inlineStr">
        <is>
          <t>玩家4</t>
        </is>
      </c>
      <c r="B601" t="inlineStr">
        <is>
          <t>♦3 ♥K ♥4 ♦9 ♥7 ♥A ♥6 ♦10 ♠9 ♣2 ♦6 ♦J</t>
        </is>
      </c>
    </row>
    <row r="602">
      <c r="A602" s="8" t="inlineStr">
        <is>
          <t>📦 底牌信息</t>
        </is>
      </c>
    </row>
    <row r="603">
      <c r="A603" t="inlineStr">
        <is>
          <t>初始底牌</t>
        </is>
      </c>
      <c r="B603" t="inlineStr">
        <is>
          <t>♠2 ♥J ♥8 ♣4 大王 ♥Q</t>
        </is>
      </c>
    </row>
    <row r="604">
      <c r="A604" t="inlineStr">
        <is>
          <t>庄家埋入</t>
        </is>
      </c>
      <c r="B604" t="inlineStr">
        <is>
          <t>♦3 ♥4 ♥6 ♦6 ♥7</t>
        </is>
      </c>
      <c r="D604" t="inlineStr">
        <is>
          <t>♥Q ♦3 ♥4 ♥6 ♦6 ♥7</t>
        </is>
      </c>
      <c r="E604" t="inlineStr">
        <is>
          <t>分值=0</t>
        </is>
      </c>
    </row>
    <row r="605">
      <c r="A605" s="8" t="inlineStr">
        <is>
          <t>📝 操作日志</t>
        </is>
      </c>
    </row>
    <row r="606">
      <c r="A606">
        <f>== 第12局 ===</f>
        <v/>
      </c>
    </row>
    <row r="607">
      <c r="A607" t="inlineStr">
        <is>
          <t>庄家方级牌=7, 抓分方级牌=7, 庄家=玩家4</t>
        </is>
      </c>
    </row>
    <row r="608">
      <c r="A608" t="inlineStr">
        <is>
          <t>庄家阵营: 玩4、玩2 | 抓分阵营: 玩1、玩3</t>
        </is>
      </c>
    </row>
    <row r="609">
      <c r="A609" t="inlineStr">
        <is>
          <t>发牌完成 | 底牌: ♠2 ♥J ♥8 ♣4 大王 ♥Q</t>
        </is>
      </c>
    </row>
    <row r="610">
      <c r="A610" t="inlineStr">
        <is>
          <t>【底牌首张定主】♠2 → 主=黑桃</t>
        </is>
      </c>
    </row>
    <row r="611">
      <c r="A611" t="inlineStr">
        <is>
          <t>【埋底】庄家（玩4）埋 ♦3 ♥4 ♥6 ♦6 ♥7, 取回 ♠2 ♥J ♥8 ♣4 大王</t>
        </is>
      </c>
    </row>
    <row r="612">
      <c r="A612" t="inlineStr">
        <is>
          <t xml:space="preserve">  埋底后底牌: ♥Q ♦3 ♥4 ♥6 ♦6 ♥7 (分值=0)</t>
        </is>
      </c>
    </row>
    <row r="613">
      <c r="A613" t="inlineStr">
        <is>
          <t>第1圈 [对子]: 玩4首出 → [玩4:♦9 ♠9 | 玩1:♦2 ♦7 | 玩2:♣3 ♠4 | 玩3:♦4 ♦5] → 赢: 玩1(♦2) 分=5</t>
        </is>
      </c>
    </row>
    <row r="614">
      <c r="A614" t="inlineStr">
        <is>
          <t>第2圈 [对子]: 玩1首出 → [玩1:♥3 ♠3 | 玩2:♥5 ♥9 | 玩3:♣5 ♠5 | 玩4:♥8 ♥J] → 赢: 玩1(♥3) 分=15</t>
        </is>
      </c>
    </row>
    <row r="615">
      <c r="A615" t="inlineStr">
        <is>
          <t>第3圈 [单张]: 玩1首出 → [玩1:♣7 | 玩2:♣6 | 玩3:♣8 | 玩4:♣2] → 赢: 玩4(♣2) 分=0</t>
        </is>
      </c>
    </row>
    <row r="616">
      <c r="A616" t="inlineStr">
        <is>
          <t>第4圈 [单张]: 玩4首出 → [玩4:♣4 | 玩1:♣9 | 玩2:♣J | 玩3:♣A] → 赢: 玩3(♣A) 分=0</t>
        </is>
      </c>
    </row>
    <row r="617">
      <c r="A617" t="inlineStr">
        <is>
          <t>第5圈 [单张]: 玩3首出 → [玩3:♠7 | 玩4:♠2 | 玩1:♠Q | 玩2:♠6] → 赢: 玩4(♠2) 分=0</t>
        </is>
      </c>
    </row>
    <row r="618">
      <c r="A618" t="inlineStr">
        <is>
          <t>第6圈 [单张]: 玩4首出 → [玩4:♦J | 玩1:♦8 | 玩2:♦Q | 玩3:♦A] → 赢: 玩3(♦A) 分=0</t>
        </is>
      </c>
    </row>
    <row r="619">
      <c r="A619" t="inlineStr">
        <is>
          <t>第7圈 [单张]: 玩3首出 → [玩3:♠8 | 玩4:♦10 | 玩1:♠10 | 玩2:♠J] → 赢: 玩2(♠J) 分=20</t>
        </is>
      </c>
    </row>
    <row r="620">
      <c r="A620" t="inlineStr">
        <is>
          <t>第8圈 [单张]: 玩2首出 → [玩2:♣Q | 玩3:♣10 | 玩4:大王 | 玩1:♣K] → 赢: 玩4(大王) 分=20</t>
        </is>
      </c>
    </row>
    <row r="621">
      <c r="A621" t="inlineStr">
        <is>
          <t>第9圈 [单张]: 玩4首出 → [玩4:♥A | 玩1:♥2 | 玩2:♠K | 玩3:♥10] → 赢: 玩1(♥2) 分=20</t>
        </is>
      </c>
    </row>
    <row r="622">
      <c r="A622" t="inlineStr">
        <is>
          <t>第10圈 [单张]: 玩1首出 → [玩1:小王 | 玩2:♠A | 玩3:♦K | 玩4:♥K] → 赢: 玩1(小王) 分=20</t>
        </is>
      </c>
    </row>
    <row r="623">
      <c r="A623" t="inlineStr">
        <is>
          <t>抓分方总分=100</t>
        </is>
      </c>
    </row>
    <row r="624">
      <c r="A624" t="inlineStr">
        <is>
          <t>结算: 抓分=100 扣底=是 庄方+0 抓方+9</t>
        </is>
      </c>
    </row>
    <row r="625">
      <c r="A625" t="inlineStr">
        <is>
          <t>级牌: 庄方 7→7 | 抓方 7→16</t>
        </is>
      </c>
    </row>
    <row r="626">
      <c r="A626" t="inlineStr">
        <is>
          <t>⚠️ 抓分方 16 &gt; 7，强制停在7，获得庄权，需再守庄一局</t>
        </is>
      </c>
    </row>
    <row r="627">
      <c r="A627" t="inlineStr">
        <is>
          <t>庄家变更: → 玩1</t>
        </is>
      </c>
    </row>
    <row r="628">
      <c r="A628" t="inlineStr">
        <is>
          <t>级牌重置: 庄家方=7 抓分方=7</t>
        </is>
      </c>
    </row>
    <row r="629">
      <c r="A629" t="inlineStr">
        <is>
          <t>守庄失败，对方上台继续</t>
        </is>
      </c>
    </row>
    <row r="630">
      <c r="A630" t="inlineStr">
        <is>
          <t>第12局结束 | 庄家方=7 抓分方=7</t>
        </is>
      </c>
    </row>
    <row r="631">
      <c r="A631" s="8" t="inlineStr">
        <is>
          <t>📊 结算</t>
        </is>
      </c>
    </row>
    <row r="632">
      <c r="A632" s="9" t="inlineStr">
        <is>
          <t>抓分方得分</t>
        </is>
      </c>
      <c r="C632" t="inlineStr">
        <is>
          <t>100</t>
        </is>
      </c>
    </row>
    <row r="633">
      <c r="A633" s="9" t="inlineStr">
        <is>
          <t>是否扣底</t>
        </is>
      </c>
      <c r="C633" t="inlineStr">
        <is>
          <t>是</t>
        </is>
      </c>
    </row>
    <row r="634">
      <c r="A634" s="9" t="inlineStr">
        <is>
          <t>扣底牌</t>
        </is>
      </c>
      <c r="C634" t="inlineStr">
        <is>
          <t>小王</t>
        </is>
      </c>
    </row>
    <row r="635">
      <c r="A635" s="9" t="inlineStr">
        <is>
          <t>基础升级 抓方</t>
        </is>
      </c>
      <c r="C635" t="inlineStr">
        <is>
          <t>+6</t>
        </is>
      </c>
    </row>
    <row r="636">
      <c r="A636" s="9" t="inlineStr">
        <is>
          <t>扣底加成</t>
        </is>
      </c>
      <c r="C636" t="inlineStr">
        <is>
          <t>+3</t>
        </is>
      </c>
    </row>
    <row r="637">
      <c r="A637" s="9" t="inlineStr">
        <is>
          <t>总升级 抓方</t>
        </is>
      </c>
      <c r="C637" t="inlineStr">
        <is>
          <t>+9</t>
        </is>
      </c>
    </row>
    <row r="638">
      <c r="A638" s="9" t="inlineStr">
        <is>
          <t>总升级 庄方</t>
        </is>
      </c>
      <c r="C638" t="inlineStr">
        <is>
          <t>+0</t>
        </is>
      </c>
    </row>
    <row r="639">
      <c r="A639" s="9" t="inlineStr">
        <is>
          <t>结果</t>
        </is>
      </c>
      <c r="C639" t="inlineStr">
        <is>
          <t>上台过7（需守庄）</t>
        </is>
      </c>
    </row>
    <row r="642">
      <c r="A642" s="6" t="inlineStr">
        <is>
          <t>═══ 第13局 ─ 上台过7（需守庄） ═══</t>
        </is>
      </c>
    </row>
    <row r="643">
      <c r="A643" s="7" t="inlineStr">
        <is>
          <t>庄家</t>
        </is>
      </c>
      <c r="C643" t="inlineStr">
        <is>
          <t>玩家1</t>
        </is>
      </c>
    </row>
    <row r="644">
      <c r="A644" s="7" t="inlineStr">
        <is>
          <t>庄家方级牌</t>
        </is>
      </c>
      <c r="C644" t="inlineStr">
        <is>
          <t>7</t>
        </is>
      </c>
    </row>
    <row r="645">
      <c r="A645" s="7" t="inlineStr">
        <is>
          <t>抓分方级牌</t>
        </is>
      </c>
      <c r="C645" t="inlineStr">
        <is>
          <t>7</t>
        </is>
      </c>
    </row>
    <row r="646">
      <c r="A646" s="7" t="inlineStr">
        <is>
          <t>本局级牌</t>
        </is>
      </c>
      <c r="C646" t="inlineStr">
        <is>
          <t>7</t>
        </is>
      </c>
    </row>
    <row r="647">
      <c r="A647" s="7" t="inlineStr">
        <is>
          <t>庄家阵营</t>
        </is>
      </c>
      <c r="C647" t="inlineStr">
        <is>
          <t>玩家1、玩家3</t>
        </is>
      </c>
    </row>
    <row r="648">
      <c r="A648" s="7" t="inlineStr">
        <is>
          <t>抓分阵营</t>
        </is>
      </c>
      <c r="C648" t="inlineStr">
        <is>
          <t>玩家2、玩家4</t>
        </is>
      </c>
    </row>
    <row r="649">
      <c r="A649" s="7" t="inlineStr">
        <is>
          <t>定主方式</t>
        </is>
      </c>
      <c r="C649" t="inlineStr">
        <is>
          <t>bottom_card</t>
        </is>
      </c>
    </row>
    <row r="650">
      <c r="A650" s="7" t="inlineStr">
        <is>
          <t>主花色</t>
        </is>
      </c>
      <c r="C650" t="inlineStr">
        <is>
          <t>草花</t>
        </is>
      </c>
    </row>
    <row r="651">
      <c r="A651" s="8" t="inlineStr">
        <is>
          <t>📋 初始手牌</t>
        </is>
      </c>
    </row>
    <row r="652">
      <c r="A652" t="inlineStr">
        <is>
          <t>玩家1</t>
        </is>
      </c>
      <c r="B652" t="inlineStr">
        <is>
          <t>♠9 ♦3 ♥J ♦Q ♣5 ♦6 ♥Q ♣10 ♠Q ♠2 ♥10 ♥2</t>
        </is>
      </c>
    </row>
    <row r="653">
      <c r="A653" t="inlineStr">
        <is>
          <t>玩家2</t>
        </is>
      </c>
      <c r="B653" t="inlineStr">
        <is>
          <t>♣8 ♠3 ♣7 ♣4 ♠K ♣9 ♥3 ♦K ♦10 ♣3 ♥4 大王</t>
        </is>
      </c>
    </row>
    <row r="654">
      <c r="A654" t="inlineStr">
        <is>
          <t>玩家3</t>
        </is>
      </c>
      <c r="B654" t="inlineStr">
        <is>
          <t>♥6 ♠8 ♦A ♣2 ♠J ♦7 ♥7 ♥9 ♦5 ♠A ♠10 ♠6</t>
        </is>
      </c>
    </row>
    <row r="655">
      <c r="A655" t="inlineStr">
        <is>
          <t>玩家4</t>
        </is>
      </c>
      <c r="B655" t="inlineStr">
        <is>
          <t>♦8 ♦J ♣K ♠4 ♠7 ♣J 小王 ♥K ♠5 ♥A ♥8 ♣A</t>
        </is>
      </c>
    </row>
    <row r="656">
      <c r="A656" s="8" t="inlineStr">
        <is>
          <t>📦 底牌信息</t>
        </is>
      </c>
    </row>
    <row r="657">
      <c r="A657" t="inlineStr">
        <is>
          <t>初始底牌</t>
        </is>
      </c>
      <c r="B657" t="inlineStr">
        <is>
          <t>♣Q ♦2 ♣6 ♥5 ♦9 ♦4</t>
        </is>
      </c>
    </row>
    <row r="658">
      <c r="A658" t="inlineStr">
        <is>
          <t>庄家埋入</t>
        </is>
      </c>
      <c r="B658" t="inlineStr">
        <is>
          <t>♦3 ♦6</t>
        </is>
      </c>
      <c r="D658" t="inlineStr">
        <is>
          <t>♣6 ♥5 ♦9 ♦4 ♦3 ♦6</t>
        </is>
      </c>
      <c r="E658" t="inlineStr">
        <is>
          <t>分值=5</t>
        </is>
      </c>
    </row>
    <row r="659">
      <c r="A659" s="8" t="inlineStr">
        <is>
          <t>📝 操作日志</t>
        </is>
      </c>
    </row>
    <row r="660">
      <c r="A660">
        <f>== 第13局 ===</f>
        <v/>
      </c>
    </row>
    <row r="661">
      <c r="A661" t="inlineStr">
        <is>
          <t>庄家方级牌=7, 抓分方级牌=7, 庄家=玩家1</t>
        </is>
      </c>
    </row>
    <row r="662">
      <c r="A662" t="inlineStr">
        <is>
          <t>庄家阵营: 玩1、玩3 | 抓分阵营: 玩2、玩4</t>
        </is>
      </c>
    </row>
    <row r="663">
      <c r="A663" t="inlineStr">
        <is>
          <t>发牌完成 | 底牌: ♣Q ♦2 ♣6 ♥5 ♦9 ♦4</t>
        </is>
      </c>
    </row>
    <row r="664">
      <c r="A664" t="inlineStr">
        <is>
          <t>【底牌首张定主】♣Q → 主=草花</t>
        </is>
      </c>
    </row>
    <row r="665">
      <c r="A665" t="inlineStr">
        <is>
          <t>【埋底】庄家（玩1）埋 ♦3 ♦6, 取回 ♣Q ♦2</t>
        </is>
      </c>
    </row>
    <row r="666">
      <c r="A666" t="inlineStr">
        <is>
          <t xml:space="preserve">  埋底后底牌: ♣6 ♥5 ♦9 ♦4 ♦3 ♦6 (分值=5)</t>
        </is>
      </c>
    </row>
    <row r="667">
      <c r="A667" t="inlineStr">
        <is>
          <t>第1圈 [对子]: 玩1首出 → [玩1:♦Q ♥Q | 玩2:♦10 ♦K | 玩3:♦5 ♦7 | 玩4:♦8 ♦J] → 赢: 玩2(♦K) 分=25</t>
        </is>
      </c>
    </row>
    <row r="668">
      <c r="A668" t="inlineStr">
        <is>
          <t>第2圈 [对子]: 玩2首出 → [玩2:♠3 ♥3 | 玩3:♠6 ♠8 | 玩4:♠4 ♠5 | 玩1:♠2 ♠9] → 赢: 玩2(♥3) 分=5</t>
        </is>
      </c>
    </row>
    <row r="669">
      <c r="A669" t="inlineStr">
        <is>
          <t>第3圈 [对子]: 玩2首出 → [玩2:♣4 ♥4 | 玩3:♥6 ♥7 | 玩4:♣J ♣K | 玩1:♣5 ♣10] → 赢: 玩4(♣K) 分=25</t>
        </is>
      </c>
    </row>
    <row r="670">
      <c r="A670" t="inlineStr">
        <is>
          <t>第4圈 [对子]: 玩4首出 → [玩4:♥A ♣A | 玩1:♥2 ♥10 | 玩2:大王 | 玩3:♣2] → 赢: 玩2(大王) 分=10</t>
        </is>
      </c>
    </row>
    <row r="671">
      <c r="A671" t="inlineStr">
        <is>
          <t>第5圈 [单张]: 玩2首出 → [玩2:♣3 | 玩3:♥9 | 玩4:♠7 | 玩1:♣Q] → 赢: 玩1(♣Q) 分=0</t>
        </is>
      </c>
    </row>
    <row r="672">
      <c r="A672" t="inlineStr">
        <is>
          <t>第6圈 [单张]: 玩1首出 → [玩1:♥J | 玩2:♣7 | 玩3:♠10 | 玩4:♥K] → 赢: 玩4(♥K) 分=20</t>
        </is>
      </c>
    </row>
    <row r="673">
      <c r="A673" t="inlineStr">
        <is>
          <t>第7圈 [单张]: 玩4首出 → [玩4:♥8 | 玩1:♠Q | 玩2:♣8 | 玩3:♠J] → 赢: 玩4(♥8) 分=0</t>
        </is>
      </c>
    </row>
    <row r="674">
      <c r="A674" t="inlineStr">
        <is>
          <t>第8圈 [单张]: 玩4首出 → [玩4:小王 | 玩1:♦2 | 玩2:♣9 | 玩3:♦A] → 赢: 玩1(♦2) 分=0</t>
        </is>
      </c>
    </row>
    <row r="675">
      <c r="A675" t="inlineStr">
        <is>
          <t>第9圈 [单张]: 玩1首出 → [玩1:无 | 玩2:♠K | 玩3:♠A | 玩4:无] → 赢: 玩3(♠A) 分=10</t>
        </is>
      </c>
    </row>
    <row r="676">
      <c r="A676" t="inlineStr">
        <is>
          <t>抓分方总分=95</t>
        </is>
      </c>
    </row>
    <row r="677">
      <c r="A677" t="inlineStr">
        <is>
          <t>结算: 抓分=95 扣底=否 庄方+0 抓方+6</t>
        </is>
      </c>
    </row>
    <row r="678">
      <c r="A678" t="inlineStr">
        <is>
          <t>级牌: 庄方 7→7 | 抓方 7→13</t>
        </is>
      </c>
    </row>
    <row r="679">
      <c r="A679" t="inlineStr">
        <is>
          <t>⚠️ 抓分方 13 &gt; 7，强制停在7，获得庄权，需再守庄一局</t>
        </is>
      </c>
    </row>
    <row r="680">
      <c r="A680" t="inlineStr">
        <is>
          <t>庄家变更: → 玩2</t>
        </is>
      </c>
    </row>
    <row r="681">
      <c r="A681" t="inlineStr">
        <is>
          <t>级牌重置: 庄家方=7 抓分方=7</t>
        </is>
      </c>
    </row>
    <row r="682">
      <c r="A682" t="inlineStr">
        <is>
          <t>守庄失败，对方上台继续</t>
        </is>
      </c>
    </row>
    <row r="683">
      <c r="A683" t="inlineStr">
        <is>
          <t>第13局结束 | 庄家方=7 抓分方=7</t>
        </is>
      </c>
    </row>
    <row r="684">
      <c r="A684" s="8" t="inlineStr">
        <is>
          <t>📊 结算</t>
        </is>
      </c>
    </row>
    <row r="685">
      <c r="A685" s="9" t="inlineStr">
        <is>
          <t>抓分方得分</t>
        </is>
      </c>
      <c r="C685" t="inlineStr">
        <is>
          <t>95</t>
        </is>
      </c>
    </row>
    <row r="686">
      <c r="A686" s="9" t="inlineStr">
        <is>
          <t>是否扣底</t>
        </is>
      </c>
      <c r="C686" t="inlineStr">
        <is>
          <t>否</t>
        </is>
      </c>
    </row>
    <row r="687">
      <c r="A687" s="9" t="inlineStr">
        <is>
          <t>扣底牌</t>
        </is>
      </c>
      <c r="C687" t="inlineStr">
        <is>
          <t>♠A</t>
        </is>
      </c>
    </row>
    <row r="688">
      <c r="A688" s="9" t="inlineStr">
        <is>
          <t>基础升级 抓方</t>
        </is>
      </c>
      <c r="C688" t="inlineStr">
        <is>
          <t>+6</t>
        </is>
      </c>
    </row>
    <row r="689">
      <c r="A689" s="9" t="inlineStr">
        <is>
          <t>扣底加成</t>
        </is>
      </c>
      <c r="C689" t="inlineStr">
        <is>
          <t>无</t>
        </is>
      </c>
    </row>
    <row r="690">
      <c r="A690" s="9" t="inlineStr">
        <is>
          <t>总升级 抓方</t>
        </is>
      </c>
      <c r="C690" t="inlineStr">
        <is>
          <t>+6</t>
        </is>
      </c>
    </row>
    <row r="691">
      <c r="A691" s="9" t="inlineStr">
        <is>
          <t>总升级 庄方</t>
        </is>
      </c>
      <c r="C691" t="inlineStr">
        <is>
          <t>+0</t>
        </is>
      </c>
    </row>
    <row r="692">
      <c r="A692" s="9" t="inlineStr">
        <is>
          <t>结果</t>
        </is>
      </c>
      <c r="C692" t="inlineStr">
        <is>
          <t>上台过7（需守庄）</t>
        </is>
      </c>
    </row>
    <row r="695">
      <c r="A695" s="6" t="inlineStr">
        <is>
          <t>═══ 第14局 ─ 上台过7（需守庄） ═══</t>
        </is>
      </c>
    </row>
    <row r="696">
      <c r="A696" s="7" t="inlineStr">
        <is>
          <t>庄家</t>
        </is>
      </c>
      <c r="C696" t="inlineStr">
        <is>
          <t>玩家2</t>
        </is>
      </c>
    </row>
    <row r="697">
      <c r="A697" s="7" t="inlineStr">
        <is>
          <t>庄家方级牌</t>
        </is>
      </c>
      <c r="C697" t="inlineStr">
        <is>
          <t>7</t>
        </is>
      </c>
    </row>
    <row r="698">
      <c r="A698" s="7" t="inlineStr">
        <is>
          <t>抓分方级牌</t>
        </is>
      </c>
      <c r="C698" t="inlineStr">
        <is>
          <t>7</t>
        </is>
      </c>
    </row>
    <row r="699">
      <c r="A699" s="7" t="inlineStr">
        <is>
          <t>本局级牌</t>
        </is>
      </c>
      <c r="C699" t="inlineStr">
        <is>
          <t>7</t>
        </is>
      </c>
    </row>
    <row r="700">
      <c r="A700" s="7" t="inlineStr">
        <is>
          <t>庄家阵营</t>
        </is>
      </c>
      <c r="C700" t="inlineStr">
        <is>
          <t>玩家2、玩家4</t>
        </is>
      </c>
    </row>
    <row r="701">
      <c r="A701" s="7" t="inlineStr">
        <is>
          <t>抓分阵营</t>
        </is>
      </c>
      <c r="C701" t="inlineStr">
        <is>
          <t>玩家3、玩家1</t>
        </is>
      </c>
    </row>
    <row r="702">
      <c r="A702" s="7" t="inlineStr">
        <is>
          <t>定主方式</t>
        </is>
      </c>
      <c r="C702" t="inlineStr">
        <is>
          <t>bottom_card</t>
        </is>
      </c>
    </row>
    <row r="703">
      <c r="A703" s="7" t="inlineStr">
        <is>
          <t>主花色</t>
        </is>
      </c>
      <c r="C703" t="inlineStr">
        <is>
          <t>红桃</t>
        </is>
      </c>
    </row>
    <row r="704">
      <c r="A704" s="8" t="inlineStr">
        <is>
          <t>📋 初始手牌</t>
        </is>
      </c>
    </row>
    <row r="705">
      <c r="A705" t="inlineStr">
        <is>
          <t>玩家1</t>
        </is>
      </c>
      <c r="B705" t="inlineStr">
        <is>
          <t>♥6 ♥3 ♣7 ♠K ♠4 ♦K ♦2 ♠Q ♠2 ♦A ♣4 ♦J</t>
        </is>
      </c>
    </row>
    <row r="706">
      <c r="A706" t="inlineStr">
        <is>
          <t>玩家2</t>
        </is>
      </c>
      <c r="B706" t="inlineStr">
        <is>
          <t>♦Q ♥7 ♦3 ♠8 ♠5 ♦4 ♣5 ♣Q 小王 ♥5 ♣A ♣8</t>
        </is>
      </c>
    </row>
    <row r="707">
      <c r="A707" t="inlineStr">
        <is>
          <t>玩家3</t>
        </is>
      </c>
      <c r="B707" t="inlineStr">
        <is>
          <t>♥2 ♦5 大王 ♥4 ♠A ♥10 ♣9 ♠7 ♦7 ♣J ♠J ♥8</t>
        </is>
      </c>
    </row>
    <row r="708">
      <c r="A708" t="inlineStr">
        <is>
          <t>玩家4</t>
        </is>
      </c>
      <c r="B708" t="inlineStr">
        <is>
          <t>♦10 ♣3 ♥K ♣6 ♣K ♥9 ♥J ♣10 ♦9 ♦6 ♥A ♠9</t>
        </is>
      </c>
    </row>
    <row r="709">
      <c r="A709" s="8" t="inlineStr">
        <is>
          <t>📦 底牌信息</t>
        </is>
      </c>
    </row>
    <row r="710">
      <c r="A710" t="inlineStr">
        <is>
          <t>初始底牌</t>
        </is>
      </c>
      <c r="B710" t="inlineStr">
        <is>
          <t>♥Q ♠3 ♦8 ♣2 ♠10 ♠6</t>
        </is>
      </c>
    </row>
    <row r="711">
      <c r="A711" t="inlineStr">
        <is>
          <t>庄家埋入</t>
        </is>
      </c>
      <c r="B711" t="inlineStr">
        <is>
          <t>♦3 ♦4</t>
        </is>
      </c>
      <c r="D711" t="inlineStr">
        <is>
          <t>♦8 ♣2 ♠10 ♠6 ♦3 ♦4</t>
        </is>
      </c>
      <c r="E711" t="inlineStr">
        <is>
          <t>分值=10</t>
        </is>
      </c>
    </row>
    <row r="712">
      <c r="A712" s="8" t="inlineStr">
        <is>
          <t>📝 操作日志</t>
        </is>
      </c>
    </row>
    <row r="713">
      <c r="A713">
        <f>== 第14局 ===</f>
        <v/>
      </c>
    </row>
    <row r="714">
      <c r="A714" t="inlineStr">
        <is>
          <t>庄家方级牌=7, 抓分方级牌=7, 庄家=玩家2</t>
        </is>
      </c>
    </row>
    <row r="715">
      <c r="A715" t="inlineStr">
        <is>
          <t>庄家阵营: 玩2、玩4 | 抓分阵营: 玩3、玩1</t>
        </is>
      </c>
    </row>
    <row r="716">
      <c r="A716" t="inlineStr">
        <is>
          <t>发牌完成 | 底牌: ♥Q ♠3 ♦8 ♣2 ♠10 ♠6</t>
        </is>
      </c>
    </row>
    <row r="717">
      <c r="A717" t="inlineStr">
        <is>
          <t>【底牌首张定主】♥Q → 主=红桃</t>
        </is>
      </c>
    </row>
    <row r="718">
      <c r="A718" t="inlineStr">
        <is>
          <t>【埋底】庄家（玩2）埋 ♦3 ♦4, 取回 ♥Q ♠3</t>
        </is>
      </c>
    </row>
    <row r="719">
      <c r="A719" t="inlineStr">
        <is>
          <t xml:space="preserve">  埋底后底牌: ♦8 ♣2 ♠10 ♠6 ♦3 ♦4 (分值=10)</t>
        </is>
      </c>
    </row>
    <row r="720">
      <c r="A720" t="inlineStr">
        <is>
          <t>第1圈 [对子]: 玩2首出 → [玩2:♠8 ♣8 | 玩3:♠7 ♠J | 玩4:♣3 ♣6 | 玩1:♠2 ♠4] → 赢: 玩1(♠2) 分=0</t>
        </is>
      </c>
    </row>
    <row r="721">
      <c r="A721" t="inlineStr">
        <is>
          <t>第2圈 [单张]: 玩1首出 → [玩1:♣4 | 玩2:♣Q | 玩3:♣9 | 玩4:♣10] → 赢: 玩2(♣Q) 分=10</t>
        </is>
      </c>
    </row>
    <row r="722">
      <c r="A722" t="inlineStr">
        <is>
          <t>第3圈 [对子]: 玩2首出 → [玩2:♦Q ♥Q | 玩3:♦5 ♦7 | 玩4:♦6 ♦9 | 玩1:♦2 ♦J] → 赢: 玩1(♦2) 分=5</t>
        </is>
      </c>
    </row>
    <row r="723">
      <c r="A723" t="inlineStr">
        <is>
          <t>第4圈 [单张]: 玩1首出 → [玩1:♥6 | 玩2:♥7 | 玩3:♥2 | 玩4:♥9] → 赢: 玩3(♥2) 分=0</t>
        </is>
      </c>
    </row>
    <row r="724">
      <c r="A724" t="inlineStr">
        <is>
          <t>第5圈 [单张]: 玩3首出 → [玩3:♥4 | 玩4:♥J | 玩1:♥3 | 玩2:♥5] → 赢: 玩1(♥3) 分=5</t>
        </is>
      </c>
    </row>
    <row r="725">
      <c r="A725" t="inlineStr">
        <is>
          <t>第6圈 [单张]: 玩1首出 → [玩1:♣7 | 玩2:♣A | 玩3:♣J | 玩4:♣K] → 赢: 玩2(♣A) 分=10</t>
        </is>
      </c>
    </row>
    <row r="726">
      <c r="A726" t="inlineStr">
        <is>
          <t>第7圈 [单张]: 玩2首出 → [玩2:♠3 | 玩3:♠A | 玩4:♠9 | 玩1:♠Q] → 赢: 玩3(♠A) 分=0</t>
        </is>
      </c>
    </row>
    <row r="727">
      <c r="A727" t="inlineStr">
        <is>
          <t>第8圈 [单张]: 玩3首出 → [玩3:♥8 | 玩4:♥A | 玩1:♠K | 玩2:小王] → 赢: 玩2(小王) 分=10</t>
        </is>
      </c>
    </row>
    <row r="728">
      <c r="A728" t="inlineStr">
        <is>
          <t>第9圈 [单张]: 玩2首出 → [玩2:♠5 | 玩3:大王 | 玩4:♦10 | 玩1:♦K] → 赢: 玩3(大王) 分=25</t>
        </is>
      </c>
    </row>
    <row r="729">
      <c r="A729" t="inlineStr">
        <is>
          <t>第10圈 [单张]: 玩3首出 → [玩3:♥10 | 玩4:♥K | 玩1:♦A | 玩2:♣5] → 赢: 玩4(♥K) 分=25</t>
        </is>
      </c>
    </row>
    <row r="730">
      <c r="A730" t="inlineStr">
        <is>
          <t>抓分方总分=90</t>
        </is>
      </c>
    </row>
    <row r="731">
      <c r="A731" t="inlineStr">
        <is>
          <t>结算: 抓分=90 扣底=否 庄方+0 抓方+6</t>
        </is>
      </c>
    </row>
    <row r="732">
      <c r="A732" t="inlineStr">
        <is>
          <t>级牌: 庄方 7→7 | 抓方 7→13</t>
        </is>
      </c>
    </row>
    <row r="733">
      <c r="A733" t="inlineStr">
        <is>
          <t>⚠️ 抓分方 13 &gt; 7，强制停在7，获得庄权，需再守庄一局</t>
        </is>
      </c>
    </row>
    <row r="734">
      <c r="A734" t="inlineStr">
        <is>
          <t>庄家变更: → 玩3</t>
        </is>
      </c>
    </row>
    <row r="735">
      <c r="A735" t="inlineStr">
        <is>
          <t>级牌重置: 庄家方=7 抓分方=7</t>
        </is>
      </c>
    </row>
    <row r="736">
      <c r="A736" t="inlineStr">
        <is>
          <t>守庄失败，对方上台继续</t>
        </is>
      </c>
    </row>
    <row r="737">
      <c r="A737" t="inlineStr">
        <is>
          <t>第14局结束 | 庄家方=7 抓分方=7</t>
        </is>
      </c>
    </row>
    <row r="738">
      <c r="A738" s="8" t="inlineStr">
        <is>
          <t>📊 结算</t>
        </is>
      </c>
    </row>
    <row r="739">
      <c r="A739" s="9" t="inlineStr">
        <is>
          <t>抓分方得分</t>
        </is>
      </c>
      <c r="C739" t="inlineStr">
        <is>
          <t>90</t>
        </is>
      </c>
    </row>
    <row r="740">
      <c r="A740" s="9" t="inlineStr">
        <is>
          <t>是否扣底</t>
        </is>
      </c>
      <c r="C740" t="inlineStr">
        <is>
          <t>否</t>
        </is>
      </c>
    </row>
    <row r="741">
      <c r="A741" s="9" t="inlineStr">
        <is>
          <t>扣底牌</t>
        </is>
      </c>
      <c r="C741" t="inlineStr">
        <is>
          <t>♥K</t>
        </is>
      </c>
    </row>
    <row r="742">
      <c r="A742" s="9" t="inlineStr">
        <is>
          <t>基础升级 抓方</t>
        </is>
      </c>
      <c r="C742" t="inlineStr">
        <is>
          <t>+6</t>
        </is>
      </c>
    </row>
    <row r="743">
      <c r="A743" s="9" t="inlineStr">
        <is>
          <t>扣底加成</t>
        </is>
      </c>
      <c r="C743" t="inlineStr">
        <is>
          <t>无</t>
        </is>
      </c>
    </row>
    <row r="744">
      <c r="A744" s="9" t="inlineStr">
        <is>
          <t>总升级 抓方</t>
        </is>
      </c>
      <c r="C744" t="inlineStr">
        <is>
          <t>+6</t>
        </is>
      </c>
    </row>
    <row r="745">
      <c r="A745" s="9" t="inlineStr">
        <is>
          <t>总升级 庄方</t>
        </is>
      </c>
      <c r="C745" t="inlineStr">
        <is>
          <t>+0</t>
        </is>
      </c>
    </row>
    <row r="746">
      <c r="A746" s="9" t="inlineStr">
        <is>
          <t>结果</t>
        </is>
      </c>
      <c r="C746" t="inlineStr">
        <is>
          <t>上台过7（需守庄）</t>
        </is>
      </c>
    </row>
    <row r="749">
      <c r="A749" s="6" t="inlineStr">
        <is>
          <t>═══ 第15局 ─ 上台过7（需守庄） ═══</t>
        </is>
      </c>
    </row>
    <row r="750">
      <c r="A750" s="7" t="inlineStr">
        <is>
          <t>庄家</t>
        </is>
      </c>
      <c r="C750" t="inlineStr">
        <is>
          <t>玩家3</t>
        </is>
      </c>
    </row>
    <row r="751">
      <c r="A751" s="7" t="inlineStr">
        <is>
          <t>庄家方级牌</t>
        </is>
      </c>
      <c r="C751" t="inlineStr">
        <is>
          <t>7</t>
        </is>
      </c>
    </row>
    <row r="752">
      <c r="A752" s="7" t="inlineStr">
        <is>
          <t>抓分方级牌</t>
        </is>
      </c>
      <c r="C752" t="inlineStr">
        <is>
          <t>7</t>
        </is>
      </c>
    </row>
    <row r="753">
      <c r="A753" s="7" t="inlineStr">
        <is>
          <t>本局级牌</t>
        </is>
      </c>
      <c r="C753" t="inlineStr">
        <is>
          <t>7</t>
        </is>
      </c>
    </row>
    <row r="754">
      <c r="A754" s="7" t="inlineStr">
        <is>
          <t>庄家阵营</t>
        </is>
      </c>
      <c r="C754" t="inlineStr">
        <is>
          <t>玩家3、玩家1</t>
        </is>
      </c>
    </row>
    <row r="755">
      <c r="A755" s="7" t="inlineStr">
        <is>
          <t>抓分阵营</t>
        </is>
      </c>
      <c r="C755" t="inlineStr">
        <is>
          <t>玩家4、玩家2</t>
        </is>
      </c>
    </row>
    <row r="756">
      <c r="A756" s="7" t="inlineStr">
        <is>
          <t>定主方式</t>
        </is>
      </c>
      <c r="C756" t="inlineStr">
        <is>
          <t>bottom_card</t>
        </is>
      </c>
    </row>
    <row r="757">
      <c r="A757" s="7" t="inlineStr">
        <is>
          <t>主花色</t>
        </is>
      </c>
      <c r="C757" t="inlineStr">
        <is>
          <t>草花</t>
        </is>
      </c>
    </row>
    <row r="758">
      <c r="A758" s="8" t="inlineStr">
        <is>
          <t>📋 初始手牌</t>
        </is>
      </c>
    </row>
    <row r="759">
      <c r="A759" t="inlineStr">
        <is>
          <t>玩家1</t>
        </is>
      </c>
      <c r="B759" t="inlineStr">
        <is>
          <t>♥5 ♦8 ♦3 ♣4 ♥4 ♥6 ♥A ♠K ♣K ♠7 ♦6 ♠3</t>
        </is>
      </c>
    </row>
    <row r="760">
      <c r="A760" t="inlineStr">
        <is>
          <t>玩家2</t>
        </is>
      </c>
      <c r="B760" t="inlineStr">
        <is>
          <t>♥10 ♥3 ♦K ♦2 ♠2 ♠4 ♣A ♣2 ♠J ♣7 ♠6 ♦4</t>
        </is>
      </c>
    </row>
    <row r="761">
      <c r="A761" t="inlineStr">
        <is>
          <t>玩家3</t>
        </is>
      </c>
      <c r="B761" t="inlineStr">
        <is>
          <t>♠10 ♥K ♦10 ♥2 ♠5 小王 ♥Q ♣6 ♦9 ♥8 ♠9 大王</t>
        </is>
      </c>
    </row>
    <row r="762">
      <c r="A762" t="inlineStr">
        <is>
          <t>玩家4</t>
        </is>
      </c>
      <c r="B762" t="inlineStr">
        <is>
          <t>♦7 ♠A ♣Q ♦A ♥9 ♥7 ♦J ♦Q ♣3 ♦5 ♥J ♠Q</t>
        </is>
      </c>
    </row>
    <row r="763">
      <c r="A763" s="8" t="inlineStr">
        <is>
          <t>📦 底牌信息</t>
        </is>
      </c>
    </row>
    <row r="764">
      <c r="A764" t="inlineStr">
        <is>
          <t>初始底牌</t>
        </is>
      </c>
      <c r="B764" t="inlineStr">
        <is>
          <t>♣J ♣9 ♣5 ♣10 ♠8 ♣8</t>
        </is>
      </c>
    </row>
    <row r="765">
      <c r="A765" t="inlineStr">
        <is>
          <t>庄家埋入</t>
        </is>
      </c>
      <c r="B765" t="inlineStr">
        <is>
          <t>♣6 ♥8 ♦9 ♠9 ♥Q</t>
        </is>
      </c>
      <c r="D765" t="inlineStr">
        <is>
          <t>♣8 ♣6 ♥8 ♦9 ♠9 ♥Q</t>
        </is>
      </c>
      <c r="E765" t="inlineStr">
        <is>
          <t>分值=0</t>
        </is>
      </c>
    </row>
    <row r="766">
      <c r="A766" s="8" t="inlineStr">
        <is>
          <t>📝 操作日志</t>
        </is>
      </c>
    </row>
    <row r="767">
      <c r="A767">
        <f>== 第15局 ===</f>
        <v/>
      </c>
    </row>
    <row r="768">
      <c r="A768" t="inlineStr">
        <is>
          <t>庄家方级牌=7, 抓分方级牌=7, 庄家=玩家3</t>
        </is>
      </c>
    </row>
    <row r="769">
      <c r="A769" t="inlineStr">
        <is>
          <t>庄家阵营: 玩3、玩1 | 抓分阵营: 玩4、玩2</t>
        </is>
      </c>
    </row>
    <row r="770">
      <c r="A770" t="inlineStr">
        <is>
          <t>发牌完成 | 底牌: ♣J ♣9 ♣5 ♣10 ♠8 ♣8</t>
        </is>
      </c>
    </row>
    <row r="771">
      <c r="A771" t="inlineStr">
        <is>
          <t>【底牌首张定主】♣J → 主=草花</t>
        </is>
      </c>
    </row>
    <row r="772">
      <c r="A772" t="inlineStr">
        <is>
          <t>【埋底】庄家（玩3）埋 ♣6 ♥8 ♦9 ♠9 ♥Q, 取回 ♣J ♣9 ♣5 ♣10 ♠8</t>
        </is>
      </c>
    </row>
    <row r="773">
      <c r="A773" t="inlineStr">
        <is>
          <t xml:space="preserve">  埋底后底牌: ♣8 ♣6 ♥8 ♦9 ♠9 ♥Q (分值=0)</t>
        </is>
      </c>
    </row>
    <row r="774">
      <c r="A774" t="inlineStr">
        <is>
          <t>第1圈 [单张]: 玩3首出 → [玩3:♠8 | 玩4:♠Q | 玩1:♠3 | 玩2:♠2] → 赢: 玩2(♠2) 分=0</t>
        </is>
      </c>
    </row>
    <row r="775">
      <c r="A775" t="inlineStr">
        <is>
          <t>第2圈 [对子]: 玩2首出 → [玩2:♠4 ♦4 | 玩3:♠5 ♠10 | 玩4:♣3 ♦5 | 玩1:♠7 ♠K] → 赢: 玩1(♠K) 分=30</t>
        </is>
      </c>
    </row>
    <row r="776">
      <c r="A776" t="inlineStr">
        <is>
          <t>第3圈 [对子]: 玩1首出 → [玩1:♥6 ♦6 | 玩2:♥3 ♥10 | 玩3:♥2 ♥K | 玩4:♥7 ♥9] → 赢: 玩2(♥3) 分=20</t>
        </is>
      </c>
    </row>
    <row r="777">
      <c r="A777" t="inlineStr">
        <is>
          <t>第4圈 [对子]: 玩2首出 → [玩2:♦2 ♣2 | 玩3:♣5 ♣9 | 玩4:♦7 ♦J | 玩1:♦3 ♦8] → 赢: 玩2(♣2) 分=5</t>
        </is>
      </c>
    </row>
    <row r="778">
      <c r="A778" t="inlineStr">
        <is>
          <t>第5圈 [单张]: 玩2首出 → [玩2:♠6 | 玩3:♦10 | 玩4:♠A | 玩1:♣4] → 赢: 玩4(♠A) 分=10</t>
        </is>
      </c>
    </row>
    <row r="779">
      <c r="A779" t="inlineStr">
        <is>
          <t>第6圈 [对子]: 玩4首出 → [玩4:♣Q ♦Q | 玩1:♥4 ♥5 | 玩2:♣7 ♣A | 玩3:♣10 ♣J] → 赢: 玩2(♣A) 分=15</t>
        </is>
      </c>
    </row>
    <row r="780">
      <c r="A780" t="inlineStr">
        <is>
          <t>第7圈 [单张]: 玩2首出 → [玩2:♠J | 玩3:小王 | 玩4:♥J | 玩1:♣K] → 赢: 玩3(小王) 分=10</t>
        </is>
      </c>
    </row>
    <row r="781">
      <c r="A781" t="inlineStr">
        <is>
          <t>第8圈 [单张]: 玩3首出 → [玩3:大王 | 玩4:♦A | 玩1:♥A | 玩2:♦K] → 赢: 玩3(大王) 分=10</t>
        </is>
      </c>
    </row>
    <row r="782">
      <c r="A782" t="inlineStr">
        <is>
          <t>抓分方总分=100</t>
        </is>
      </c>
    </row>
    <row r="783">
      <c r="A783" t="inlineStr">
        <is>
          <t>结算: 抓分=100 扣底=否 庄方+0 抓方+6</t>
        </is>
      </c>
    </row>
    <row r="784">
      <c r="A784" t="inlineStr">
        <is>
          <t>级牌: 庄方 7→7 | 抓方 7→13</t>
        </is>
      </c>
    </row>
    <row r="785">
      <c r="A785" t="inlineStr">
        <is>
          <t>⚠️ 抓分方 13 &gt; 7，强制停在7，获得庄权，需再守庄一局</t>
        </is>
      </c>
    </row>
    <row r="786">
      <c r="A786" t="inlineStr">
        <is>
          <t>庄家变更: → 玩4</t>
        </is>
      </c>
    </row>
    <row r="787">
      <c r="A787" t="inlineStr">
        <is>
          <t>级牌重置: 庄家方=7 抓分方=7</t>
        </is>
      </c>
    </row>
    <row r="788">
      <c r="A788" t="inlineStr">
        <is>
          <t>守庄失败，对方上台继续</t>
        </is>
      </c>
    </row>
    <row r="789">
      <c r="A789" t="inlineStr">
        <is>
          <t>第15局结束 | 庄家方=7 抓分方=7</t>
        </is>
      </c>
    </row>
    <row r="790">
      <c r="A790" s="8" t="inlineStr">
        <is>
          <t>📊 结算</t>
        </is>
      </c>
    </row>
    <row r="791">
      <c r="A791" s="9" t="inlineStr">
        <is>
          <t>抓分方得分</t>
        </is>
      </c>
      <c r="C791" t="inlineStr">
        <is>
          <t>100</t>
        </is>
      </c>
    </row>
    <row r="792">
      <c r="A792" s="9" t="inlineStr">
        <is>
          <t>是否扣底</t>
        </is>
      </c>
      <c r="C792" t="inlineStr">
        <is>
          <t>否</t>
        </is>
      </c>
    </row>
    <row r="793">
      <c r="A793" s="9" t="inlineStr">
        <is>
          <t>扣底牌</t>
        </is>
      </c>
      <c r="C793" t="inlineStr">
        <is>
          <t>大王</t>
        </is>
      </c>
    </row>
    <row r="794">
      <c r="A794" s="9" t="inlineStr">
        <is>
          <t>基础升级 抓方</t>
        </is>
      </c>
      <c r="C794" t="inlineStr">
        <is>
          <t>+6</t>
        </is>
      </c>
    </row>
    <row r="795">
      <c r="A795" s="9" t="inlineStr">
        <is>
          <t>扣底加成</t>
        </is>
      </c>
      <c r="C795" t="inlineStr">
        <is>
          <t>无</t>
        </is>
      </c>
    </row>
    <row r="796">
      <c r="A796" s="9" t="inlineStr">
        <is>
          <t>总升级 抓方</t>
        </is>
      </c>
      <c r="C796" t="inlineStr">
        <is>
          <t>+6</t>
        </is>
      </c>
    </row>
    <row r="797">
      <c r="A797" s="9" t="inlineStr">
        <is>
          <t>总升级 庄方</t>
        </is>
      </c>
      <c r="C797" t="inlineStr">
        <is>
          <t>+0</t>
        </is>
      </c>
    </row>
    <row r="798">
      <c r="A798" s="9" t="inlineStr">
        <is>
          <t>结果</t>
        </is>
      </c>
      <c r="C798" t="inlineStr">
        <is>
          <t>上台过7（需守庄）</t>
        </is>
      </c>
    </row>
    <row r="801">
      <c r="A801" s="6" t="inlineStr">
        <is>
          <t>═══ 第16局 ─ 上台过7（需守庄） ═══</t>
        </is>
      </c>
    </row>
    <row r="802">
      <c r="A802" s="7" t="inlineStr">
        <is>
          <t>庄家</t>
        </is>
      </c>
      <c r="C802" t="inlineStr">
        <is>
          <t>玩家4</t>
        </is>
      </c>
    </row>
    <row r="803">
      <c r="A803" s="7" t="inlineStr">
        <is>
          <t>庄家方级牌</t>
        </is>
      </c>
      <c r="C803" t="inlineStr">
        <is>
          <t>7</t>
        </is>
      </c>
    </row>
    <row r="804">
      <c r="A804" s="7" t="inlineStr">
        <is>
          <t>抓分方级牌</t>
        </is>
      </c>
      <c r="C804" t="inlineStr">
        <is>
          <t>7</t>
        </is>
      </c>
    </row>
    <row r="805">
      <c r="A805" s="7" t="inlineStr">
        <is>
          <t>本局级牌</t>
        </is>
      </c>
      <c r="C805" t="inlineStr">
        <is>
          <t>7</t>
        </is>
      </c>
    </row>
    <row r="806">
      <c r="A806" s="7" t="inlineStr">
        <is>
          <t>庄家阵营</t>
        </is>
      </c>
      <c r="C806" t="inlineStr">
        <is>
          <t>玩家4、玩家2</t>
        </is>
      </c>
    </row>
    <row r="807">
      <c r="A807" s="7" t="inlineStr">
        <is>
          <t>抓分阵营</t>
        </is>
      </c>
      <c r="C807" t="inlineStr">
        <is>
          <t>玩家1、玩家3</t>
        </is>
      </c>
    </row>
    <row r="808">
      <c r="A808" s="7" t="inlineStr">
        <is>
          <t>定主方式</t>
        </is>
      </c>
      <c r="C808" t="inlineStr">
        <is>
          <t>bottom_card</t>
        </is>
      </c>
    </row>
    <row r="809">
      <c r="A809" s="7" t="inlineStr">
        <is>
          <t>主花色</t>
        </is>
      </c>
      <c r="C809" t="inlineStr">
        <is>
          <t>红桃</t>
        </is>
      </c>
    </row>
    <row r="810">
      <c r="A810" s="8" t="inlineStr">
        <is>
          <t>📋 初始手牌</t>
        </is>
      </c>
    </row>
    <row r="811">
      <c r="A811" t="inlineStr">
        <is>
          <t>玩家1</t>
        </is>
      </c>
      <c r="B811" t="inlineStr">
        <is>
          <t>♦9 ♠A ♥8 ♦4 ♦5 ♦3 ♠10 ♦A ♣7 ♥3 小王 ♠J</t>
        </is>
      </c>
    </row>
    <row r="812">
      <c r="A812" t="inlineStr">
        <is>
          <t>玩家2</t>
        </is>
      </c>
      <c r="B812" t="inlineStr">
        <is>
          <t>♠6 ♠Q ♠2 ♥6 ♥9 ♥4 ♣8 ♣J ♣6 ♥J ♣4 ♣10</t>
        </is>
      </c>
    </row>
    <row r="813">
      <c r="A813" t="inlineStr">
        <is>
          <t>玩家3</t>
        </is>
      </c>
      <c r="B813" t="inlineStr">
        <is>
          <t>♣2 ♦K ♦10 ♣5 ♠7 ♣3 ♠4 ♥2 ♦2 ♣9 ♥7 ♠K</t>
        </is>
      </c>
    </row>
    <row r="814">
      <c r="A814" t="inlineStr">
        <is>
          <t>玩家4</t>
        </is>
      </c>
      <c r="B814" t="inlineStr">
        <is>
          <t>♥K ♦J ♠5 ♠9 ♦8 ♠3 ♦Q 大王 ♣K ♣A ♣Q ♥A</t>
        </is>
      </c>
    </row>
    <row r="815">
      <c r="A815" s="8" t="inlineStr">
        <is>
          <t>📦 底牌信息</t>
        </is>
      </c>
    </row>
    <row r="816">
      <c r="A816" t="inlineStr">
        <is>
          <t>初始底牌</t>
        </is>
      </c>
      <c r="B816" t="inlineStr">
        <is>
          <t>♥5 ♥10 ♥Q ♦7 ♦6 ♠8</t>
        </is>
      </c>
    </row>
    <row r="817">
      <c r="A817" t="inlineStr">
        <is>
          <t>庄家埋入</t>
        </is>
      </c>
      <c r="B817" t="inlineStr">
        <is>
          <t>♠3 ♦8 ♠9 ♦J</t>
        </is>
      </c>
      <c r="D817" t="inlineStr">
        <is>
          <t>♦6 ♠8 ♠3 ♦8 ♠9 ♦J</t>
        </is>
      </c>
      <c r="E817" t="inlineStr">
        <is>
          <t>分值=0</t>
        </is>
      </c>
    </row>
    <row r="818">
      <c r="A818" s="8" t="inlineStr">
        <is>
          <t>📝 操作日志</t>
        </is>
      </c>
    </row>
    <row r="819">
      <c r="A819">
        <f>== 第16局 ===</f>
        <v/>
      </c>
    </row>
    <row r="820">
      <c r="A820" t="inlineStr">
        <is>
          <t>庄家方级牌=7, 抓分方级牌=7, 庄家=玩家4</t>
        </is>
      </c>
    </row>
    <row r="821">
      <c r="A821" t="inlineStr">
        <is>
          <t>庄家阵营: 玩4、玩2 | 抓分阵营: 玩1、玩3</t>
        </is>
      </c>
    </row>
    <row r="822">
      <c r="A822" t="inlineStr">
        <is>
          <t>发牌完成 | 底牌: ♥5 ♥10 ♥Q ♦7 ♦6 ♠8</t>
        </is>
      </c>
    </row>
    <row r="823">
      <c r="A823" t="inlineStr">
        <is>
          <t>【底牌首张定主】♥5 → 主=红桃</t>
        </is>
      </c>
    </row>
    <row r="824">
      <c r="A824" t="inlineStr">
        <is>
          <t>【埋底】庄家（玩4）埋 ♠3 ♦8 ♠9 ♦J, 取回 ♥5 ♥10 ♥Q ♦7</t>
        </is>
      </c>
    </row>
    <row r="825">
      <c r="A825" t="inlineStr">
        <is>
          <t xml:space="preserve">  埋底后底牌: ♦6 ♠8 ♠3 ♦8 ♠9 ♦J (分值=0)</t>
        </is>
      </c>
    </row>
    <row r="826">
      <c r="A826" t="inlineStr">
        <is>
          <t>第1圈 [对子]: 玩4首出 → [玩4:♦Q ♣Q | 玩1:♦3 ♦4 | 玩2:♥4 ♣4 | 玩3:♦2 ♦10] → 赢: 玩3(♦2) 分=10</t>
        </is>
      </c>
    </row>
    <row r="827">
      <c r="A827" t="inlineStr">
        <is>
          <t>第2圈 [对子]: 玩3首出 → [玩3:♠7 ♥7 | 玩4:♠5 ♥5 | 玩1:♠10 ♠J | 玩2:♠2 ♠6] → 赢: 玩2(♠2) 分=20</t>
        </is>
      </c>
    </row>
    <row r="828">
      <c r="A828" t="inlineStr">
        <is>
          <t>第3圈 [对子]: 玩2首出 → [玩2:♣J ♥J | 玩3:♣2 ♣3 | 玩4:♣K ♣A | 玩1:♥3 小王] → 赢: 玩1(小王) 分=10</t>
        </is>
      </c>
    </row>
    <row r="829">
      <c r="A829" t="inlineStr">
        <is>
          <t>第4圈 [对子]: 玩1首出 → [玩1:♠A ♦A | 玩2:♥6 ♣6 | 玩3:♠4 ♠K | 玩4:大王] → 赢: 玩4(大王) 分=10</t>
        </is>
      </c>
    </row>
    <row r="830">
      <c r="A830" t="inlineStr">
        <is>
          <t>第5圈 [单张]: 玩4首出 → [玩4:♦7 | 玩1:♦9 | 玩2:♣8 | 玩3:♦K] → 赢: 玩3(♦K) 分=10</t>
        </is>
      </c>
    </row>
    <row r="831">
      <c r="A831" t="inlineStr">
        <is>
          <t>第6圈 [单张]: 玩3首出 → [玩3:♣9 | 玩4:♥10 | 玩1:♣7 | 玩2:♣10] → 赢: 玩2(♣10) 分=20</t>
        </is>
      </c>
    </row>
    <row r="832">
      <c r="A832" t="inlineStr">
        <is>
          <t>第7圈 [单张]: 玩2首出 → [玩2:♥9 | 玩3:♥2 | 玩4:♥Q | 玩1:♥8] → 赢: 玩3(♥2) 分=0</t>
        </is>
      </c>
    </row>
    <row r="833">
      <c r="A833" t="inlineStr">
        <is>
          <t>第8圈 [单张]: 玩3首出 → [玩3:♣5 | 玩4:♥K | 玩1:♦5 | 玩2:♠Q] → 赢: 玩3(♣5) 分=20</t>
        </is>
      </c>
    </row>
    <row r="834">
      <c r="A834" t="inlineStr">
        <is>
          <t>第9圈 [单张]: 玩3首出 → [玩3:无 | 玩4:♥A | 玩1:无 | 玩2:无] → 赢: 玩4(♥A) 分=0</t>
        </is>
      </c>
    </row>
    <row r="835">
      <c r="A835" t="inlineStr">
        <is>
          <t>抓分方总分=100</t>
        </is>
      </c>
    </row>
    <row r="836">
      <c r="A836" t="inlineStr">
        <is>
          <t>结算: 抓分=100 扣底=否 庄方+0 抓方+6</t>
        </is>
      </c>
    </row>
    <row r="837">
      <c r="A837" t="inlineStr">
        <is>
          <t>级牌: 庄方 7→7 | 抓方 7→13</t>
        </is>
      </c>
    </row>
    <row r="838">
      <c r="A838" t="inlineStr">
        <is>
          <t>⚠️ 抓分方 13 &gt; 7，强制停在7，获得庄权，需再守庄一局</t>
        </is>
      </c>
    </row>
    <row r="839">
      <c r="A839" t="inlineStr">
        <is>
          <t>庄家变更: → 玩1</t>
        </is>
      </c>
    </row>
    <row r="840">
      <c r="A840" t="inlineStr">
        <is>
          <t>级牌重置: 庄家方=7 抓分方=7</t>
        </is>
      </c>
    </row>
    <row r="841">
      <c r="A841" t="inlineStr">
        <is>
          <t>守庄失败，对方上台继续</t>
        </is>
      </c>
    </row>
    <row r="842">
      <c r="A842" t="inlineStr">
        <is>
          <t>第16局结束 | 庄家方=7 抓分方=7</t>
        </is>
      </c>
    </row>
    <row r="843">
      <c r="A843" s="8" t="inlineStr">
        <is>
          <t>📊 结算</t>
        </is>
      </c>
    </row>
    <row r="844">
      <c r="A844" s="9" t="inlineStr">
        <is>
          <t>抓分方得分</t>
        </is>
      </c>
      <c r="C844" t="inlineStr">
        <is>
          <t>100</t>
        </is>
      </c>
    </row>
    <row r="845">
      <c r="A845" s="9" t="inlineStr">
        <is>
          <t>是否扣底</t>
        </is>
      </c>
      <c r="C845" t="inlineStr">
        <is>
          <t>否</t>
        </is>
      </c>
    </row>
    <row r="846">
      <c r="A846" s="9" t="inlineStr">
        <is>
          <t>扣底牌</t>
        </is>
      </c>
      <c r="C846" t="inlineStr">
        <is>
          <t>♥A</t>
        </is>
      </c>
    </row>
    <row r="847">
      <c r="A847" s="9" t="inlineStr">
        <is>
          <t>基础升级 抓方</t>
        </is>
      </c>
      <c r="C847" t="inlineStr">
        <is>
          <t>+6</t>
        </is>
      </c>
    </row>
    <row r="848">
      <c r="A848" s="9" t="inlineStr">
        <is>
          <t>扣底加成</t>
        </is>
      </c>
      <c r="C848" t="inlineStr">
        <is>
          <t>无</t>
        </is>
      </c>
    </row>
    <row r="849">
      <c r="A849" s="9" t="inlineStr">
        <is>
          <t>总升级 抓方</t>
        </is>
      </c>
      <c r="C849" t="inlineStr">
        <is>
          <t>+6</t>
        </is>
      </c>
    </row>
    <row r="850">
      <c r="A850" s="9" t="inlineStr">
        <is>
          <t>总升级 庄方</t>
        </is>
      </c>
      <c r="C850" t="inlineStr">
        <is>
          <t>+0</t>
        </is>
      </c>
    </row>
    <row r="851">
      <c r="A851" s="9" t="inlineStr">
        <is>
          <t>结果</t>
        </is>
      </c>
      <c r="C851" t="inlineStr">
        <is>
          <t>上台过7（需守庄）</t>
        </is>
      </c>
    </row>
    <row r="854">
      <c r="A854" s="6" t="inlineStr">
        <is>
          <t>═══ 第17局 ─ 上台过7（需守庄） ═══</t>
        </is>
      </c>
    </row>
    <row r="855">
      <c r="A855" s="7" t="inlineStr">
        <is>
          <t>庄家</t>
        </is>
      </c>
      <c r="C855" t="inlineStr">
        <is>
          <t>玩家1</t>
        </is>
      </c>
    </row>
    <row r="856">
      <c r="A856" s="7" t="inlineStr">
        <is>
          <t>庄家方级牌</t>
        </is>
      </c>
      <c r="C856" t="inlineStr">
        <is>
          <t>7</t>
        </is>
      </c>
    </row>
    <row r="857">
      <c r="A857" s="7" t="inlineStr">
        <is>
          <t>抓分方级牌</t>
        </is>
      </c>
      <c r="C857" t="inlineStr">
        <is>
          <t>7</t>
        </is>
      </c>
    </row>
    <row r="858">
      <c r="A858" s="7" t="inlineStr">
        <is>
          <t>本局级牌</t>
        </is>
      </c>
      <c r="C858" t="inlineStr">
        <is>
          <t>7</t>
        </is>
      </c>
    </row>
    <row r="859">
      <c r="A859" s="7" t="inlineStr">
        <is>
          <t>庄家阵营</t>
        </is>
      </c>
      <c r="C859" t="inlineStr">
        <is>
          <t>玩家1、玩家3</t>
        </is>
      </c>
    </row>
    <row r="860">
      <c r="A860" s="7" t="inlineStr">
        <is>
          <t>抓分阵营</t>
        </is>
      </c>
      <c r="C860" t="inlineStr">
        <is>
          <t>玩家2、玩家4</t>
        </is>
      </c>
    </row>
    <row r="861">
      <c r="A861" s="7" t="inlineStr">
        <is>
          <t>定主方式</t>
        </is>
      </c>
      <c r="C861" t="inlineStr">
        <is>
          <t>bottom_card</t>
        </is>
      </c>
    </row>
    <row r="862">
      <c r="A862" s="7" t="inlineStr">
        <is>
          <t>主花色</t>
        </is>
      </c>
      <c r="C862" t="inlineStr">
        <is>
          <t>红桃</t>
        </is>
      </c>
    </row>
    <row r="863">
      <c r="A863" s="8" t="inlineStr">
        <is>
          <t>📋 初始手牌</t>
        </is>
      </c>
    </row>
    <row r="864">
      <c r="A864" t="inlineStr">
        <is>
          <t>玩家1</t>
        </is>
      </c>
      <c r="B864" t="inlineStr">
        <is>
          <t>♦Q ♠8 ♠10 ♣7 ♦K ♣2 ♠2 ♥J ♥5 ♣8 ♠9 ♣9</t>
        </is>
      </c>
    </row>
    <row r="865">
      <c r="A865" t="inlineStr">
        <is>
          <t>玩家2</t>
        </is>
      </c>
      <c r="B865" t="inlineStr">
        <is>
          <t>♦4 ♦2 ♣4 ♥6 ♦9 ♣5 大王 ♥7 ♠4 ♠7 ♥2 ♦7</t>
        </is>
      </c>
    </row>
    <row r="866">
      <c r="A866" t="inlineStr">
        <is>
          <t>玩家3</t>
        </is>
      </c>
      <c r="B866" t="inlineStr">
        <is>
          <t>♦10 ♦J ♦8 ♣K ♥4 ♠Q ♣Q ♦6 ♠A ♣10 小王 ♣6</t>
        </is>
      </c>
    </row>
    <row r="867">
      <c r="A867" t="inlineStr">
        <is>
          <t>玩家4</t>
        </is>
      </c>
      <c r="B867" t="inlineStr">
        <is>
          <t>♣A ♥10 ♥9 ♣J ♠6 ♠J ♥Q ♣3 ♥K ♦5 ♦3 ♠3</t>
        </is>
      </c>
    </row>
    <row r="868">
      <c r="A868" s="8" t="inlineStr">
        <is>
          <t>📦 底牌信息</t>
        </is>
      </c>
    </row>
    <row r="869">
      <c r="A869" t="inlineStr">
        <is>
          <t>初始底牌</t>
        </is>
      </c>
      <c r="B869" t="inlineStr">
        <is>
          <t>♥A ♦A ♥8 ♠5 ♥3 ♠K</t>
        </is>
      </c>
    </row>
    <row r="870">
      <c r="A870" t="inlineStr">
        <is>
          <t>庄家埋入</t>
        </is>
      </c>
      <c r="B870" t="inlineStr">
        <is>
          <t>♣7 ♠8 ♣8 ♠9 ♣9</t>
        </is>
      </c>
      <c r="D870" t="inlineStr">
        <is>
          <t>♠K ♣7 ♠8 ♣8 ♠9 ♣9</t>
        </is>
      </c>
      <c r="E870" t="inlineStr">
        <is>
          <t>分值=10</t>
        </is>
      </c>
    </row>
    <row r="871">
      <c r="A871" s="8" t="inlineStr">
        <is>
          <t>📝 操作日志</t>
        </is>
      </c>
    </row>
    <row r="872">
      <c r="A872">
        <f>== 第17局 ===</f>
        <v/>
      </c>
    </row>
    <row r="873">
      <c r="A873" t="inlineStr">
        <is>
          <t>庄家方级牌=7, 抓分方级牌=7, 庄家=玩家1</t>
        </is>
      </c>
    </row>
    <row r="874">
      <c r="A874" t="inlineStr">
        <is>
          <t>庄家阵营: 玩1、玩3 | 抓分阵营: 玩2、玩4</t>
        </is>
      </c>
    </row>
    <row r="875">
      <c r="A875" t="inlineStr">
        <is>
          <t>发牌完成 | 底牌: ♥A ♦A ♥8 ♠5 ♥3 ♠K</t>
        </is>
      </c>
    </row>
    <row r="876">
      <c r="A876" t="inlineStr">
        <is>
          <t>【底牌首张定主】♥A → 主=红桃</t>
        </is>
      </c>
    </row>
    <row r="877">
      <c r="A877" t="inlineStr">
        <is>
          <t>【埋底】庄家（玩1）埋 ♣7 ♠8 ♣8 ♠9 ♣9, 取回 ♥A ♦A ♥8 ♠5 ♥3</t>
        </is>
      </c>
    </row>
    <row r="878">
      <c r="A878" t="inlineStr">
        <is>
          <t xml:space="preserve">  埋底后底牌: ♠K ♣7 ♠8 ♣8 ♠9 ♣9 (分值=10)</t>
        </is>
      </c>
    </row>
    <row r="879">
      <c r="A879" t="inlineStr">
        <is>
          <t>第1圈 [对子]: 玩1首出 → [玩1:♣2 ♠2 | 玩2:♣4 ♣5 | 玩3:♣6 ♣10 | 玩4:♣3 ♣J] → 赢: 玩1(♠2) 分=15</t>
        </is>
      </c>
    </row>
    <row r="880">
      <c r="A880" t="inlineStr">
        <is>
          <t>第2圈 [对子]: 玩1首出 → [玩1:♥A ♦A | 玩2:♥2 ♥6 | 玩3:♥4 ♦6 | 玩4:♥9 ♥10] → 赢: 玩2(♥2) 分=10</t>
        </is>
      </c>
    </row>
    <row r="881">
      <c r="A881" t="inlineStr">
        <is>
          <t>第3圈 [对子]: 玩2首出 → [玩2:♦4 ♠4 | 玩3:♦8 ♦10 | 玩4:♦3 ♦5 | 玩1:♦Q ♦K] → 赢: 玩1(♦K) 分=25</t>
        </is>
      </c>
    </row>
    <row r="882">
      <c r="A882" t="inlineStr">
        <is>
          <t>第4圈 [单张]: 玩1首出 → [玩1:♥8 | 玩2:♥7 | 玩3:♦J | 玩4:♥Q] → 赢: 玩4(♥Q) 分=0</t>
        </is>
      </c>
    </row>
    <row r="883">
      <c r="A883" t="inlineStr">
        <is>
          <t>第5圈 [单张]: 玩4首出 → [玩4:♠3 | 玩1:♠5 | 玩2:♠7 | 玩3:♠Q] → 赢: 玩3(♠Q) 分=5</t>
        </is>
      </c>
    </row>
    <row r="884">
      <c r="A884" t="inlineStr">
        <is>
          <t>第6圈 [单张]: 玩3首出 → [玩3:♣Q | 玩4:♣A | 玩1:♥5 | 玩2:♦2] → 赢: 玩2(♦2) 分=5</t>
        </is>
      </c>
    </row>
    <row r="885">
      <c r="A885" t="inlineStr">
        <is>
          <t>第7圈 [单张]: 玩2首出 → [玩2:♦7 | 玩3:♣K | 玩4:♠6 | 玩1:♥3] → 赢: 玩1(♥3) 分=10</t>
        </is>
      </c>
    </row>
    <row r="886">
      <c r="A886" t="inlineStr">
        <is>
          <t>第8圈 [单张]: 玩1首出 → [玩1:♥J | 玩2:♦9 | 玩3:♠A | 玩4:♥K] → 赢: 玩4(♥K) 分=10</t>
        </is>
      </c>
    </row>
    <row r="887">
      <c r="A887" t="inlineStr">
        <is>
          <t>第9圈 [单张]: 玩4首出 → [玩4:♠J | 玩1:♠10 | 玩2:大王 | 玩3:小王] → 赢: 玩2(大王) 分=10</t>
        </is>
      </c>
    </row>
    <row r="888">
      <c r="A888" t="inlineStr">
        <is>
          <t>抓分方总分=90</t>
        </is>
      </c>
    </row>
    <row r="889">
      <c r="A889" t="inlineStr">
        <is>
          <t>结算: 抓分=90 扣底=是 庄方+0 抓方+10</t>
        </is>
      </c>
    </row>
    <row r="890">
      <c r="A890" t="inlineStr">
        <is>
          <t>级牌: 庄方 7→7 | 抓方 7→17</t>
        </is>
      </c>
    </row>
    <row r="891">
      <c r="A891" t="inlineStr">
        <is>
          <t>⚠️ 抓分方 17 &gt; 7，强制停在7，获得庄权，需再守庄一局</t>
        </is>
      </c>
    </row>
    <row r="892">
      <c r="A892" t="inlineStr">
        <is>
          <t>庄家变更: → 玩2</t>
        </is>
      </c>
    </row>
    <row r="893">
      <c r="A893" t="inlineStr">
        <is>
          <t>级牌重置: 庄家方=7 抓分方=7</t>
        </is>
      </c>
    </row>
    <row r="894">
      <c r="A894" t="inlineStr">
        <is>
          <t>守庄失败，对方上台继续</t>
        </is>
      </c>
    </row>
    <row r="895">
      <c r="A895" t="inlineStr">
        <is>
          <t>第17局结束 | 庄家方=7 抓分方=7</t>
        </is>
      </c>
    </row>
    <row r="896">
      <c r="A896" s="8" t="inlineStr">
        <is>
          <t>📊 结算</t>
        </is>
      </c>
    </row>
    <row r="897">
      <c r="A897" s="9" t="inlineStr">
        <is>
          <t>抓分方得分</t>
        </is>
      </c>
      <c r="C897" t="inlineStr">
        <is>
          <t>90</t>
        </is>
      </c>
    </row>
    <row r="898">
      <c r="A898" s="9" t="inlineStr">
        <is>
          <t>是否扣底</t>
        </is>
      </c>
      <c r="C898" t="inlineStr">
        <is>
          <t>是</t>
        </is>
      </c>
    </row>
    <row r="899">
      <c r="A899" s="9" t="inlineStr">
        <is>
          <t>扣底牌</t>
        </is>
      </c>
      <c r="C899" t="inlineStr">
        <is>
          <t>大王</t>
        </is>
      </c>
    </row>
    <row r="900">
      <c r="A900" s="9" t="inlineStr">
        <is>
          <t>基础升级 抓方</t>
        </is>
      </c>
      <c r="C900" t="inlineStr">
        <is>
          <t>+6</t>
        </is>
      </c>
    </row>
    <row r="901">
      <c r="A901" s="9" t="inlineStr">
        <is>
          <t>扣底加成</t>
        </is>
      </c>
      <c r="C901" t="inlineStr">
        <is>
          <t>+4</t>
        </is>
      </c>
    </row>
    <row r="902">
      <c r="A902" s="9" t="inlineStr">
        <is>
          <t>总升级 抓方</t>
        </is>
      </c>
      <c r="C902" t="inlineStr">
        <is>
          <t>+10</t>
        </is>
      </c>
    </row>
    <row r="903">
      <c r="A903" s="9" t="inlineStr">
        <is>
          <t>总升级 庄方</t>
        </is>
      </c>
      <c r="C903" t="inlineStr">
        <is>
          <t>+0</t>
        </is>
      </c>
    </row>
    <row r="904">
      <c r="A904" s="9" t="inlineStr">
        <is>
          <t>结果</t>
        </is>
      </c>
      <c r="C904" t="inlineStr">
        <is>
          <t>上台过7（需守庄）</t>
        </is>
      </c>
    </row>
    <row r="907">
      <c r="A907" s="6" t="inlineStr">
        <is>
          <t>═══ 第18局 ─ 上台过7（需守庄） ═══</t>
        </is>
      </c>
    </row>
    <row r="908">
      <c r="A908" s="7" t="inlineStr">
        <is>
          <t>庄家</t>
        </is>
      </c>
      <c r="C908" t="inlineStr">
        <is>
          <t>玩家2</t>
        </is>
      </c>
    </row>
    <row r="909">
      <c r="A909" s="7" t="inlineStr">
        <is>
          <t>庄家方级牌</t>
        </is>
      </c>
      <c r="C909" t="inlineStr">
        <is>
          <t>7</t>
        </is>
      </c>
    </row>
    <row r="910">
      <c r="A910" s="7" t="inlineStr">
        <is>
          <t>抓分方级牌</t>
        </is>
      </c>
      <c r="C910" t="inlineStr">
        <is>
          <t>7</t>
        </is>
      </c>
    </row>
    <row r="911">
      <c r="A911" s="7" t="inlineStr">
        <is>
          <t>本局级牌</t>
        </is>
      </c>
      <c r="C911" t="inlineStr">
        <is>
          <t>7</t>
        </is>
      </c>
    </row>
    <row r="912">
      <c r="A912" s="7" t="inlineStr">
        <is>
          <t>庄家阵营</t>
        </is>
      </c>
      <c r="C912" t="inlineStr">
        <is>
          <t>玩家2、玩家4</t>
        </is>
      </c>
    </row>
    <row r="913">
      <c r="A913" s="7" t="inlineStr">
        <is>
          <t>抓分阵营</t>
        </is>
      </c>
      <c r="C913" t="inlineStr">
        <is>
          <t>玩家3、玩家1</t>
        </is>
      </c>
    </row>
    <row r="914">
      <c r="A914" s="7" t="inlineStr">
        <is>
          <t>定主方式</t>
        </is>
      </c>
      <c r="C914" t="inlineStr">
        <is>
          <t>bottom_card</t>
        </is>
      </c>
    </row>
    <row r="915">
      <c r="A915" s="7" t="inlineStr">
        <is>
          <t>主花色</t>
        </is>
      </c>
      <c r="C915" t="inlineStr">
        <is>
          <t>红桃</t>
        </is>
      </c>
    </row>
    <row r="916">
      <c r="A916" s="8" t="inlineStr">
        <is>
          <t>📋 初始手牌</t>
        </is>
      </c>
    </row>
    <row r="917">
      <c r="A917" t="inlineStr">
        <is>
          <t>玩家1</t>
        </is>
      </c>
      <c r="B917" t="inlineStr">
        <is>
          <t>♥7 ♠3 ♥9 ♣8 ♦J ♠6 ♠A ♣6 ♦10 ♦3 ♠8 ♥3</t>
        </is>
      </c>
    </row>
    <row r="918">
      <c r="A918" t="inlineStr">
        <is>
          <t>玩家2</t>
        </is>
      </c>
      <c r="B918" t="inlineStr">
        <is>
          <t>♠4 ♠Q ♣2 ♣5 ♥2 ♣10 ♦7 ♥A ♦K ♦A ♣Q ♦6</t>
        </is>
      </c>
    </row>
    <row r="919">
      <c r="A919" t="inlineStr">
        <is>
          <t>玩家3</t>
        </is>
      </c>
      <c r="B919" t="inlineStr">
        <is>
          <t>大王 ♠5 ♦2 ♥5 ♥8 ♣9 ♥Q ♦8 ♣K ♦Q ♠2 ♥6</t>
        </is>
      </c>
    </row>
    <row r="920">
      <c r="A920" t="inlineStr">
        <is>
          <t>玩家4</t>
        </is>
      </c>
      <c r="B920" t="inlineStr">
        <is>
          <t>♣A ♣7 ♠K ♦5 ♥J ♠10 ♣4 ♣3 ♥4 ♦4 ♠7 ♦9</t>
        </is>
      </c>
    </row>
    <row r="921">
      <c r="A921" s="8" t="inlineStr">
        <is>
          <t>📦 底牌信息</t>
        </is>
      </c>
    </row>
    <row r="922">
      <c r="A922" t="inlineStr">
        <is>
          <t>初始底牌</t>
        </is>
      </c>
      <c r="B922" t="inlineStr">
        <is>
          <t>♥K 小王 ♣J ♥10 ♠9 ♠J</t>
        </is>
      </c>
    </row>
    <row r="923">
      <c r="A923" t="inlineStr">
        <is>
          <t>庄家埋入</t>
        </is>
      </c>
      <c r="B923" t="inlineStr">
        <is>
          <t>♠4 ♦6 ♦7 ♠Q ♣Q</t>
        </is>
      </c>
      <c r="D923" t="inlineStr">
        <is>
          <t>♠J ♠4 ♦6 ♦7 ♠Q ♣Q</t>
        </is>
      </c>
      <c r="E923" t="inlineStr">
        <is>
          <t>分值=0</t>
        </is>
      </c>
    </row>
    <row r="924">
      <c r="A924" s="8" t="inlineStr">
        <is>
          <t>📝 操作日志</t>
        </is>
      </c>
    </row>
    <row r="925">
      <c r="A925">
        <f>== 第18局 ===</f>
        <v/>
      </c>
    </row>
    <row r="926">
      <c r="A926" t="inlineStr">
        <is>
          <t>庄家方级牌=7, 抓分方级牌=7, 庄家=玩家2</t>
        </is>
      </c>
    </row>
    <row r="927">
      <c r="A927" t="inlineStr">
        <is>
          <t>庄家阵营: 玩2、玩4 | 抓分阵营: 玩3、玩1</t>
        </is>
      </c>
    </row>
    <row r="928">
      <c r="A928" t="inlineStr">
        <is>
          <t>发牌完成 | 底牌: ♥K 小王 ♣J ♥10 ♠9 ♠J</t>
        </is>
      </c>
    </row>
    <row r="929">
      <c r="A929" t="inlineStr">
        <is>
          <t>【底牌首张定主】♥K → 主=红桃</t>
        </is>
      </c>
    </row>
    <row r="930">
      <c r="A930" t="inlineStr">
        <is>
          <t>【埋底】庄家（玩2）埋 ♠4 ♦6 ♦7 ♠Q ♣Q, 取回 ♥K 小王 ♣J ♥10 ♠9</t>
        </is>
      </c>
    </row>
    <row r="931">
      <c r="A931" t="inlineStr">
        <is>
          <t xml:space="preserve">  埋底后底牌: ♠J ♠4 ♦6 ♦7 ♠Q ♣Q (分值=0)</t>
        </is>
      </c>
    </row>
    <row r="932">
      <c r="A932" t="inlineStr">
        <is>
          <t>第1圈 [对子]: 玩2首出 → [玩2:♣2 ♥2 | 玩3:♣9 ♣K | 玩4:♣3 ♣4 | 玩1:♣6 ♣8] → 赢: 玩2(♥2) 分=10</t>
        </is>
      </c>
    </row>
    <row r="933">
      <c r="A933" t="inlineStr">
        <is>
          <t>第2圈 [对子]: 玩2首出 → [玩2:♥A ♦A | 玩3:♥5 ♥6 | 玩4:♥4 ♥J | 玩1:♥3 ♥7] → 赢: 玩1(♥3) 分=5</t>
        </is>
      </c>
    </row>
    <row r="934">
      <c r="A934" t="inlineStr">
        <is>
          <t>第3圈 [对子]: 玩1首出 → [玩1:♠3 ♦3 | 玩2:♣5 ♠9 | 玩3:♠2 ♠5 | 玩4:♠7 ♠10] → 赢: 玩3(♠2) 分=20</t>
        </is>
      </c>
    </row>
    <row r="935">
      <c r="A935" t="inlineStr">
        <is>
          <t>第4圈 [对子]: 玩3首出 → [玩3:♥8 ♦8 | 玩4:♦4 ♦5 | 玩1:♠6 ♠8 | 玩2:♥10 ♥K] → 赢: 玩2(♥K) 分=25</t>
        </is>
      </c>
    </row>
    <row r="936">
      <c r="A936" t="inlineStr">
        <is>
          <t>第5圈 [单张]: 玩2首出 → [玩2:♣J | 玩3:♥Q | 玩4:♣7 | 玩1:♥9] → 赢: 玩2(♣J) 分=0</t>
        </is>
      </c>
    </row>
    <row r="937">
      <c r="A937" t="inlineStr">
        <is>
          <t>第6圈 [单张]: 玩2首出 → [玩2:小王 | 玩3:大王 | 玩4:♦9 | 玩1:♦10] → 赢: 玩3(大王) 分=10</t>
        </is>
      </c>
    </row>
    <row r="938">
      <c r="A938" t="inlineStr">
        <is>
          <t>第7圈 [单张]: 玩3首出 → [玩3:♦Q | 玩4:♠K | 玩1:♦J | 玩2:♦K] → 赢: 玩2(♦K) 分=20</t>
        </is>
      </c>
    </row>
    <row r="939">
      <c r="A939" t="inlineStr">
        <is>
          <t>第8圈 [单张]: 玩2首出 → [玩2:♣10 | 玩3:♦2 | 玩4:♣A | 玩1:♠A] → 赢: 玩3(♦2) 分=10</t>
        </is>
      </c>
    </row>
    <row r="940">
      <c r="A940" t="inlineStr">
        <is>
          <t>抓分方总分=100</t>
        </is>
      </c>
    </row>
    <row r="941">
      <c r="A941" t="inlineStr">
        <is>
          <t>结算: 抓分=100 扣底=是 庄方+0 抓方+9</t>
        </is>
      </c>
    </row>
    <row r="942">
      <c r="A942" t="inlineStr">
        <is>
          <t>级牌: 庄方 7→7 | 抓方 7→16</t>
        </is>
      </c>
    </row>
    <row r="943">
      <c r="A943" t="inlineStr">
        <is>
          <t>⚠️ 抓分方 16 &gt; 7，强制停在7，获得庄权，需再守庄一局</t>
        </is>
      </c>
    </row>
    <row r="944">
      <c r="A944" t="inlineStr">
        <is>
          <t>庄家变更: → 玩3</t>
        </is>
      </c>
    </row>
    <row r="945">
      <c r="A945" t="inlineStr">
        <is>
          <t>级牌重置: 庄家方=7 抓分方=7</t>
        </is>
      </c>
    </row>
    <row r="946">
      <c r="A946" t="inlineStr">
        <is>
          <t>守庄失败，对方上台继续</t>
        </is>
      </c>
    </row>
    <row r="947">
      <c r="A947" t="inlineStr">
        <is>
          <t>第18局结束 | 庄家方=7 抓分方=7</t>
        </is>
      </c>
    </row>
    <row r="948">
      <c r="A948" s="8" t="inlineStr">
        <is>
          <t>📊 结算</t>
        </is>
      </c>
    </row>
    <row r="949">
      <c r="A949" s="9" t="inlineStr">
        <is>
          <t>抓分方得分</t>
        </is>
      </c>
      <c r="C949" t="inlineStr">
        <is>
          <t>100</t>
        </is>
      </c>
    </row>
    <row r="950">
      <c r="A950" s="9" t="inlineStr">
        <is>
          <t>是否扣底</t>
        </is>
      </c>
      <c r="C950" t="inlineStr">
        <is>
          <t>是</t>
        </is>
      </c>
    </row>
    <row r="951">
      <c r="A951" s="9" t="inlineStr">
        <is>
          <t>扣底牌</t>
        </is>
      </c>
      <c r="C951" t="inlineStr">
        <is>
          <t>♦2</t>
        </is>
      </c>
    </row>
    <row r="952">
      <c r="A952" s="9" t="inlineStr">
        <is>
          <t>基础升级 抓方</t>
        </is>
      </c>
      <c r="C952" t="inlineStr">
        <is>
          <t>+6</t>
        </is>
      </c>
    </row>
    <row r="953">
      <c r="A953" s="9" t="inlineStr">
        <is>
          <t>扣底加成</t>
        </is>
      </c>
      <c r="C953" t="inlineStr">
        <is>
          <t>+3</t>
        </is>
      </c>
    </row>
    <row r="954">
      <c r="A954" s="9" t="inlineStr">
        <is>
          <t>总升级 抓方</t>
        </is>
      </c>
      <c r="C954" t="inlineStr">
        <is>
          <t>+9</t>
        </is>
      </c>
    </row>
    <row r="955">
      <c r="A955" s="9" t="inlineStr">
        <is>
          <t>总升级 庄方</t>
        </is>
      </c>
      <c r="C955" t="inlineStr">
        <is>
          <t>+0</t>
        </is>
      </c>
    </row>
    <row r="956">
      <c r="A956" s="9" t="inlineStr">
        <is>
          <t>结果</t>
        </is>
      </c>
      <c r="C956" t="inlineStr">
        <is>
          <t>上台过7（需守庄）</t>
        </is>
      </c>
    </row>
    <row r="959">
      <c r="A959" s="6" t="inlineStr">
        <is>
          <t>═══ 第19局 ─ 上台过7（需守庄） ═══</t>
        </is>
      </c>
    </row>
    <row r="960">
      <c r="A960" s="7" t="inlineStr">
        <is>
          <t>庄家</t>
        </is>
      </c>
      <c r="C960" t="inlineStr">
        <is>
          <t>玩家3</t>
        </is>
      </c>
    </row>
    <row r="961">
      <c r="A961" s="7" t="inlineStr">
        <is>
          <t>庄家方级牌</t>
        </is>
      </c>
      <c r="C961" t="inlineStr">
        <is>
          <t>7</t>
        </is>
      </c>
    </row>
    <row r="962">
      <c r="A962" s="7" t="inlineStr">
        <is>
          <t>抓分方级牌</t>
        </is>
      </c>
      <c r="C962" t="inlineStr">
        <is>
          <t>7</t>
        </is>
      </c>
    </row>
    <row r="963">
      <c r="A963" s="7" t="inlineStr">
        <is>
          <t>本局级牌</t>
        </is>
      </c>
      <c r="C963" t="inlineStr">
        <is>
          <t>7</t>
        </is>
      </c>
    </row>
    <row r="964">
      <c r="A964" s="7" t="inlineStr">
        <is>
          <t>庄家阵营</t>
        </is>
      </c>
      <c r="C964" t="inlineStr">
        <is>
          <t>玩家3、玩家1</t>
        </is>
      </c>
    </row>
    <row r="965">
      <c r="A965" s="7" t="inlineStr">
        <is>
          <t>抓分阵营</t>
        </is>
      </c>
      <c r="C965" t="inlineStr">
        <is>
          <t>玩家4、玩家2</t>
        </is>
      </c>
    </row>
    <row r="966">
      <c r="A966" s="7" t="inlineStr">
        <is>
          <t>定主方式</t>
        </is>
      </c>
      <c r="C966" t="inlineStr">
        <is>
          <t>bottom_card</t>
        </is>
      </c>
    </row>
    <row r="967">
      <c r="A967" s="7" t="inlineStr">
        <is>
          <t>主花色</t>
        </is>
      </c>
      <c r="C967" t="inlineStr">
        <is>
          <t>红桃</t>
        </is>
      </c>
    </row>
    <row r="968">
      <c r="A968" s="8" t="inlineStr">
        <is>
          <t>📋 初始手牌</t>
        </is>
      </c>
    </row>
    <row r="969">
      <c r="A969" t="inlineStr">
        <is>
          <t>玩家1</t>
        </is>
      </c>
      <c r="B969" t="inlineStr">
        <is>
          <t>♥4 ♥5 ♥J ♣2 ♥K ♠3 ♦7 ♣A ♥10 ♥9 ♦Q ♠A</t>
        </is>
      </c>
    </row>
    <row r="970">
      <c r="A970" t="inlineStr">
        <is>
          <t>玩家2</t>
        </is>
      </c>
      <c r="B970" t="inlineStr">
        <is>
          <t>♠7 ♣Q 大王 ♦5 ♦2 ♠2 ♦J ♦10 ♠J ♣9 ♥2 ♠Q</t>
        </is>
      </c>
    </row>
    <row r="971">
      <c r="A971" t="inlineStr">
        <is>
          <t>玩家3</t>
        </is>
      </c>
      <c r="B971" t="inlineStr">
        <is>
          <t>♠8 ♣10 ♦9 ♣K ♠5 ♠6 ♦8 ♦4 ♣5 ♥A ♦A ♠9</t>
        </is>
      </c>
    </row>
    <row r="972">
      <c r="A972" t="inlineStr">
        <is>
          <t>玩家4</t>
        </is>
      </c>
      <c r="B972" t="inlineStr">
        <is>
          <t>♥8 ♣8 ♦6 ♦K 小王 ♠4 ♥7 ♣6 ♠K ♣J ♥6 ♣7</t>
        </is>
      </c>
    </row>
    <row r="973">
      <c r="A973" s="8" t="inlineStr">
        <is>
          <t>📦 底牌信息</t>
        </is>
      </c>
    </row>
    <row r="974">
      <c r="A974" t="inlineStr">
        <is>
          <t>初始底牌</t>
        </is>
      </c>
      <c r="B974" t="inlineStr">
        <is>
          <t>♥3 ♦3 ♥Q ♠10 ♣4 ♣3</t>
        </is>
      </c>
    </row>
    <row r="975">
      <c r="A975" t="inlineStr">
        <is>
          <t>庄家埋入</t>
        </is>
      </c>
      <c r="B975" t="inlineStr">
        <is>
          <t>♦4 ♠6</t>
        </is>
      </c>
      <c r="D975" t="inlineStr">
        <is>
          <t>♥Q ♠10 ♣4 ♣3 ♦4 ♠6</t>
        </is>
      </c>
      <c r="E975" t="inlineStr">
        <is>
          <t>分值=10</t>
        </is>
      </c>
    </row>
    <row r="976">
      <c r="A976" s="8" t="inlineStr">
        <is>
          <t>📝 操作日志</t>
        </is>
      </c>
    </row>
    <row r="977">
      <c r="A977">
        <f>== 第19局 ===</f>
        <v/>
      </c>
    </row>
    <row r="978">
      <c r="A978" t="inlineStr">
        <is>
          <t>庄家方级牌=7, 抓分方级牌=7, 庄家=玩家3</t>
        </is>
      </c>
    </row>
    <row r="979">
      <c r="A979" t="inlineStr">
        <is>
          <t>庄家阵营: 玩3、玩1 | 抓分阵营: 玩4、玩2</t>
        </is>
      </c>
    </row>
    <row r="980">
      <c r="A980" t="inlineStr">
        <is>
          <t>发牌完成 | 底牌: ♥3 ♦3 ♥Q ♠10 ♣4 ♣3</t>
        </is>
      </c>
    </row>
    <row r="981">
      <c r="A981" t="inlineStr">
        <is>
          <t>【底牌首张定主】♥3 → 主=红桃</t>
        </is>
      </c>
    </row>
    <row r="982">
      <c r="A982" t="inlineStr">
        <is>
          <t>【埋底】庄家（玩3）埋 ♦4 ♠6, 取回 ♥3 ♦3</t>
        </is>
      </c>
    </row>
    <row r="983">
      <c r="A983" t="inlineStr">
        <is>
          <t xml:space="preserve">  埋底后底牌: ♥Q ♠10 ♣4 ♣3 ♦4 ♠6 (分值=10)</t>
        </is>
      </c>
    </row>
    <row r="984">
      <c r="A984" t="inlineStr">
        <is>
          <t>第1圈 [对子]: 玩3首出 → [玩3:♠8 ♦8 | 玩4:♠4 ♠K | 玩1:♠3 ♠A | 玩2:♠2 ♠7] → 赢: 玩2(♠2) 分=10</t>
        </is>
      </c>
    </row>
    <row r="985">
      <c r="A985" t="inlineStr">
        <is>
          <t>第2圈 [对子]: 玩2首出 → [玩2:♦J ♠J | 玩3:♦3 ♦9 | 玩4:♦6 ♦K | 玩1:♦7 ♦Q] → 赢: 玩4(♦K) 分=10</t>
        </is>
      </c>
    </row>
    <row r="986">
      <c r="A986" t="inlineStr">
        <is>
          <t>第3圈 [对子]: 玩4首出 → [玩4:♣6 ♥6 | 玩1:♣2 ♣A | 玩2:♣9 ♣Q | 玩3:♣5 ♣10] → 赢: 玩1(♣2) 分=15</t>
        </is>
      </c>
    </row>
    <row r="987">
      <c r="A987" t="inlineStr">
        <is>
          <t>第4圈 [单张]: 玩1首出 → [玩1:♥4 | 玩2:♥2 | 玩3:♥3 | 玩4:♥7] → 赢: 玩3(♥3) 分=0</t>
        </is>
      </c>
    </row>
    <row r="988">
      <c r="A988" t="inlineStr">
        <is>
          <t>第5圈 [对子]: 玩3首出 → [玩3:♥A ♦A | 玩4:♣7 ♥8 | 玩1:♥5 ♥9 | 玩2:♦2 大王] → 赢: 玩2(大王) 分=5</t>
        </is>
      </c>
    </row>
    <row r="989">
      <c r="A989" t="inlineStr">
        <is>
          <t>第6圈 [单张]: 玩2首出 → [玩2:♠Q | 玩3:♠9 | 玩4:♣8 | 玩1:♥10] → 赢: 玩2(♠Q) 分=10</t>
        </is>
      </c>
    </row>
    <row r="990">
      <c r="A990" t="inlineStr">
        <is>
          <t>第7圈 [单张]: 玩2首出 → [玩2:♦5 | 玩3:♠5 | 玩4:小王 | 玩1:♥J] → 赢: 玩4(小王) 分=10</t>
        </is>
      </c>
    </row>
    <row r="991">
      <c r="A991" t="inlineStr">
        <is>
          <t>第8圈 [单张]: 玩4首出 → [玩4:♣J | 玩1:♥K | 玩2:♦10 | 玩3:♣K] → 赢: 玩3(♣K) 分=30</t>
        </is>
      </c>
    </row>
    <row r="992">
      <c r="A992" t="inlineStr">
        <is>
          <t>抓分方总分=90</t>
        </is>
      </c>
    </row>
    <row r="993">
      <c r="A993" t="inlineStr">
        <is>
          <t>结算: 抓分=90 扣底=否 庄方+0 抓方+6</t>
        </is>
      </c>
    </row>
    <row r="994">
      <c r="A994" t="inlineStr">
        <is>
          <t>级牌: 庄方 7→7 | 抓方 7→13</t>
        </is>
      </c>
    </row>
    <row r="995">
      <c r="A995" t="inlineStr">
        <is>
          <t>⚠️ 抓分方 13 &gt; 7，强制停在7，获得庄权，需再守庄一局</t>
        </is>
      </c>
    </row>
    <row r="996">
      <c r="A996" t="inlineStr">
        <is>
          <t>庄家变更: → 玩4</t>
        </is>
      </c>
    </row>
    <row r="997">
      <c r="A997" t="inlineStr">
        <is>
          <t>级牌重置: 庄家方=7 抓分方=7</t>
        </is>
      </c>
    </row>
    <row r="998">
      <c r="A998" t="inlineStr">
        <is>
          <t>守庄失败，对方上台继续</t>
        </is>
      </c>
    </row>
    <row r="999">
      <c r="A999" t="inlineStr">
        <is>
          <t>第19局结束 | 庄家方=7 抓分方=7</t>
        </is>
      </c>
    </row>
    <row r="1000">
      <c r="A1000" s="8" t="inlineStr">
        <is>
          <t>📊 结算</t>
        </is>
      </c>
    </row>
    <row r="1001">
      <c r="A1001" s="9" t="inlineStr">
        <is>
          <t>抓分方得分</t>
        </is>
      </c>
      <c r="C1001" t="inlineStr">
        <is>
          <t>90</t>
        </is>
      </c>
    </row>
    <row r="1002">
      <c r="A1002" s="9" t="inlineStr">
        <is>
          <t>是否扣底</t>
        </is>
      </c>
      <c r="C1002" t="inlineStr">
        <is>
          <t>否</t>
        </is>
      </c>
    </row>
    <row r="1003">
      <c r="A1003" s="9" t="inlineStr">
        <is>
          <t>扣底牌</t>
        </is>
      </c>
      <c r="C1003" t="inlineStr">
        <is>
          <t>♣K</t>
        </is>
      </c>
    </row>
    <row r="1004">
      <c r="A1004" s="9" t="inlineStr">
        <is>
          <t>基础升级 抓方</t>
        </is>
      </c>
      <c r="C1004" t="inlineStr">
        <is>
          <t>+6</t>
        </is>
      </c>
    </row>
    <row r="1005">
      <c r="A1005" s="9" t="inlineStr">
        <is>
          <t>扣底加成</t>
        </is>
      </c>
      <c r="C1005" t="inlineStr">
        <is>
          <t>无</t>
        </is>
      </c>
    </row>
    <row r="1006">
      <c r="A1006" s="9" t="inlineStr">
        <is>
          <t>总升级 抓方</t>
        </is>
      </c>
      <c r="C1006" t="inlineStr">
        <is>
          <t>+6</t>
        </is>
      </c>
    </row>
    <row r="1007">
      <c r="A1007" s="9" t="inlineStr">
        <is>
          <t>总升级 庄方</t>
        </is>
      </c>
      <c r="C1007" t="inlineStr">
        <is>
          <t>+0</t>
        </is>
      </c>
    </row>
    <row r="1008">
      <c r="A1008" s="9" t="inlineStr">
        <is>
          <t>结果</t>
        </is>
      </c>
      <c r="C1008" t="inlineStr">
        <is>
          <t>上台过7（需守庄）</t>
        </is>
      </c>
    </row>
    <row r="1011">
      <c r="A1011" s="6" t="inlineStr">
        <is>
          <t>═══ 第20局 ─ 上台过7（需守庄） ═══</t>
        </is>
      </c>
    </row>
    <row r="1012">
      <c r="A1012" s="7" t="inlineStr">
        <is>
          <t>庄家</t>
        </is>
      </c>
      <c r="C1012" t="inlineStr">
        <is>
          <t>玩家4</t>
        </is>
      </c>
    </row>
    <row r="1013">
      <c r="A1013" s="7" t="inlineStr">
        <is>
          <t>庄家方级牌</t>
        </is>
      </c>
      <c r="C1013" t="inlineStr">
        <is>
          <t>7</t>
        </is>
      </c>
    </row>
    <row r="1014">
      <c r="A1014" s="7" t="inlineStr">
        <is>
          <t>抓分方级牌</t>
        </is>
      </c>
      <c r="C1014" t="inlineStr">
        <is>
          <t>7</t>
        </is>
      </c>
    </row>
    <row r="1015">
      <c r="A1015" s="7" t="inlineStr">
        <is>
          <t>本局级牌</t>
        </is>
      </c>
      <c r="C1015" t="inlineStr">
        <is>
          <t>7</t>
        </is>
      </c>
    </row>
    <row r="1016">
      <c r="A1016" s="7" t="inlineStr">
        <is>
          <t>庄家阵营</t>
        </is>
      </c>
      <c r="C1016" t="inlineStr">
        <is>
          <t>玩家4、玩家2</t>
        </is>
      </c>
    </row>
    <row r="1017">
      <c r="A1017" s="7" t="inlineStr">
        <is>
          <t>抓分阵营</t>
        </is>
      </c>
      <c r="C1017" t="inlineStr">
        <is>
          <t>玩家1、玩家3</t>
        </is>
      </c>
    </row>
    <row r="1018">
      <c r="A1018" s="7" t="inlineStr">
        <is>
          <t>定主方式</t>
        </is>
      </c>
      <c r="C1018" t="inlineStr">
        <is>
          <t>bottom_card</t>
        </is>
      </c>
    </row>
    <row r="1019">
      <c r="A1019" s="7" t="inlineStr">
        <is>
          <t>主花色</t>
        </is>
      </c>
      <c r="C1019" t="inlineStr">
        <is>
          <t>草花</t>
        </is>
      </c>
    </row>
    <row r="1020">
      <c r="A1020" s="8" t="inlineStr">
        <is>
          <t>📋 初始手牌</t>
        </is>
      </c>
    </row>
    <row r="1021">
      <c r="A1021" t="inlineStr">
        <is>
          <t>玩家1</t>
        </is>
      </c>
      <c r="B1021" t="inlineStr">
        <is>
          <t>♣4 ♥3 ♦9 ♦4 ♠9 ♥6 ♠J ♠2 ♦3 小王 ♠5 ♦6</t>
        </is>
      </c>
    </row>
    <row r="1022">
      <c r="A1022" t="inlineStr">
        <is>
          <t>玩家2</t>
        </is>
      </c>
      <c r="B1022" t="inlineStr">
        <is>
          <t>♠10 ♦K ♥5 ♣2 ♥K ♥Q ♠Q ♠4 ♠6 ♣3 ♦J ♥9</t>
        </is>
      </c>
    </row>
    <row r="1023">
      <c r="A1023" t="inlineStr">
        <is>
          <t>玩家3</t>
        </is>
      </c>
      <c r="B1023" t="inlineStr">
        <is>
          <t>♦10 ♠8 ♥4 ♦2 ♠3 大王 ♥2 ♣8 ♥7 ♣Q ♠K ♦A</t>
        </is>
      </c>
    </row>
    <row r="1024">
      <c r="A1024" t="inlineStr">
        <is>
          <t>玩家4</t>
        </is>
      </c>
      <c r="B1024" t="inlineStr">
        <is>
          <t>♣K ♣9 ♦7 ♣A ♣7 ♣5 ♥10 ♦8 ♦Q ♦5 ♥J ♥8</t>
        </is>
      </c>
    </row>
    <row r="1025">
      <c r="A1025" s="8" t="inlineStr">
        <is>
          <t>📦 底牌信息</t>
        </is>
      </c>
    </row>
    <row r="1026">
      <c r="A1026" t="inlineStr">
        <is>
          <t>初始底牌</t>
        </is>
      </c>
      <c r="B1026" t="inlineStr">
        <is>
          <t>♣6 ♣10 ♣J ♠7 ♥A ♠A</t>
        </is>
      </c>
    </row>
    <row r="1027">
      <c r="A1027" t="inlineStr">
        <is>
          <t>庄家埋入</t>
        </is>
      </c>
      <c r="B1027" t="inlineStr">
        <is>
          <t>♦7 ♣7 ♦8 ♥8</t>
        </is>
      </c>
      <c r="D1027" t="inlineStr">
        <is>
          <t>♥A ♠A ♦7 ♣7 ♦8 ♥8</t>
        </is>
      </c>
      <c r="E1027" t="inlineStr">
        <is>
          <t>分值=0</t>
        </is>
      </c>
    </row>
    <row r="1028">
      <c r="A1028" s="8" t="inlineStr">
        <is>
          <t>📝 操作日志</t>
        </is>
      </c>
    </row>
    <row r="1029">
      <c r="A1029">
        <f>== 第20局 ===</f>
        <v/>
      </c>
    </row>
    <row r="1030">
      <c r="A1030" t="inlineStr">
        <is>
          <t>庄家方级牌=7, 抓分方级牌=7, 庄家=玩家4</t>
        </is>
      </c>
    </row>
    <row r="1031">
      <c r="A1031" t="inlineStr">
        <is>
          <t>庄家阵营: 玩4、玩2 | 抓分阵营: 玩1、玩3</t>
        </is>
      </c>
    </row>
    <row r="1032">
      <c r="A1032" t="inlineStr">
        <is>
          <t>发牌完成 | 底牌: ♣6 ♣10 ♣J ♠7 ♥A ♠A</t>
        </is>
      </c>
    </row>
    <row r="1033">
      <c r="A1033" t="inlineStr">
        <is>
          <t>【底牌首张定主】♣6 → 主=草花</t>
        </is>
      </c>
    </row>
    <row r="1034">
      <c r="A1034" t="inlineStr">
        <is>
          <t>【埋底】庄家（玩4）埋 ♦7 ♣7 ♦8 ♥8, 取回 ♣6 ♣10 ♣J ♠7</t>
        </is>
      </c>
    </row>
    <row r="1035">
      <c r="A1035" t="inlineStr">
        <is>
          <t xml:space="preserve">  埋底后底牌: ♥A ♠A ♦7 ♣7 ♦8 ♥8 (分值=0)</t>
        </is>
      </c>
    </row>
    <row r="1036">
      <c r="A1036" t="inlineStr">
        <is>
          <t>第1圈 [对子]: 玩4首出 → [玩4:♥J ♣J | 玩1:♥3 ♥6 | 玩2:♥5 ♥9 | 玩3:♥2 ♥4] → 赢: 玩1(♥3) 分=5</t>
        </is>
      </c>
    </row>
    <row r="1037">
      <c r="A1037" t="inlineStr">
        <is>
          <t>第2圈 [对子]: 玩1首出 → [玩1:♦9 ♠9 | 玩2:♦J ♦K | 玩3:♦2 ♦10 | 玩4:♦5 ♦Q] → 赢: 玩3(♦2) 分=25</t>
        </is>
      </c>
    </row>
    <row r="1038">
      <c r="A1038" t="inlineStr">
        <is>
          <t>第3圈 [对子]: 玩3首出 → [玩3:♠8 ♣8 | 玩4:♣5 ♣6 | 玩1:♠2 ♠5 | 玩2:♠4 ♠6] → 赢: 玩1(♠2) 分=10</t>
        </is>
      </c>
    </row>
    <row r="1039">
      <c r="A1039" t="inlineStr">
        <is>
          <t>第4圈 [对子]: 玩1首出 → [玩1:♣4 ♦4 | 玩2:♣2 ♣3 | 玩3:♠3 ♥7 | 玩4:♣9 ♣10] → 赢: 玩2(♣2) 分=10</t>
        </is>
      </c>
    </row>
    <row r="1040">
      <c r="A1040" t="inlineStr">
        <is>
          <t>第5圈 [对子]: 玩2首出 → [玩2:♥Q ♠Q | 玩3:♣Q ♠K | 玩4:♠7 ♥10 | 玩1:小王] → 赢: 玩1(小王) 分=20</t>
        </is>
      </c>
    </row>
    <row r="1041">
      <c r="A1041" t="inlineStr">
        <is>
          <t>第6圈 [单张]: 玩1首出 → [玩1:♦3 | 玩2:♠10 | 玩3:♦A | 玩4:♣K] → 赢: 玩3(♦A) 分=20</t>
        </is>
      </c>
    </row>
    <row r="1042">
      <c r="A1042" t="inlineStr">
        <is>
          <t>第7圈 [单张]: 玩3首出 → [玩3:大王 | 玩4:♣A | 玩1:♦6 | 玩2:♥K] → 赢: 玩3(大王) 分=10</t>
        </is>
      </c>
    </row>
    <row r="1043">
      <c r="A1043" t="inlineStr">
        <is>
          <t>第8圈 [单张]: 玩3首出 → [玩3:无 | 玩4:无 | 玩1:♠J | 玩2:无] → 赢: 玩1(♠J) 分=0</t>
        </is>
      </c>
    </row>
    <row r="1044">
      <c r="A1044" t="inlineStr">
        <is>
          <t>抓分方总分=100</t>
        </is>
      </c>
    </row>
    <row r="1045">
      <c r="A1045" t="inlineStr">
        <is>
          <t>结算: 抓分=100 扣底=是 庄方+0 抓方+9</t>
        </is>
      </c>
    </row>
    <row r="1046">
      <c r="A1046" t="inlineStr">
        <is>
          <t>级牌: 庄方 7→7 | 抓方 7→16</t>
        </is>
      </c>
    </row>
    <row r="1047">
      <c r="A1047" t="inlineStr">
        <is>
          <t>⚠️ 抓分方 16 &gt; 7，强制停在7，获得庄权，需再守庄一局</t>
        </is>
      </c>
    </row>
    <row r="1048">
      <c r="A1048" t="inlineStr">
        <is>
          <t>庄家变更: → 玩1</t>
        </is>
      </c>
    </row>
    <row r="1049">
      <c r="A1049" t="inlineStr">
        <is>
          <t>级牌重置: 庄家方=7 抓分方=7</t>
        </is>
      </c>
    </row>
    <row r="1050">
      <c r="A1050" t="inlineStr">
        <is>
          <t>守庄失败，对方上台继续</t>
        </is>
      </c>
    </row>
    <row r="1051">
      <c r="A1051" t="inlineStr">
        <is>
          <t>第20局结束 | 庄家方=7 抓分方=7</t>
        </is>
      </c>
    </row>
    <row r="1052">
      <c r="A1052" s="8" t="inlineStr">
        <is>
          <t>📊 结算</t>
        </is>
      </c>
    </row>
    <row r="1053">
      <c r="A1053" s="9" t="inlineStr">
        <is>
          <t>抓分方得分</t>
        </is>
      </c>
      <c r="C1053" t="inlineStr">
        <is>
          <t>100</t>
        </is>
      </c>
    </row>
    <row r="1054">
      <c r="A1054" s="9" t="inlineStr">
        <is>
          <t>是否扣底</t>
        </is>
      </c>
      <c r="C1054" t="inlineStr">
        <is>
          <t>是</t>
        </is>
      </c>
    </row>
    <row r="1055">
      <c r="A1055" s="9" t="inlineStr">
        <is>
          <t>扣底牌</t>
        </is>
      </c>
      <c r="C1055" t="inlineStr">
        <is>
          <t>♠J</t>
        </is>
      </c>
    </row>
    <row r="1056">
      <c r="A1056" s="9" t="inlineStr">
        <is>
          <t>基础升级 抓方</t>
        </is>
      </c>
      <c r="C1056" t="inlineStr">
        <is>
          <t>+6</t>
        </is>
      </c>
    </row>
    <row r="1057">
      <c r="A1057" s="9" t="inlineStr">
        <is>
          <t>扣底加成</t>
        </is>
      </c>
      <c r="C1057" t="inlineStr">
        <is>
          <t>+3</t>
        </is>
      </c>
    </row>
    <row r="1058">
      <c r="A1058" s="9" t="inlineStr">
        <is>
          <t>总升级 抓方</t>
        </is>
      </c>
      <c r="C1058" t="inlineStr">
        <is>
          <t>+9</t>
        </is>
      </c>
    </row>
    <row r="1059">
      <c r="A1059" s="9" t="inlineStr">
        <is>
          <t>总升级 庄方</t>
        </is>
      </c>
      <c r="C1059" t="inlineStr">
        <is>
          <t>+0</t>
        </is>
      </c>
    </row>
    <row r="1060">
      <c r="A1060" s="9" t="inlineStr">
        <is>
          <t>结果</t>
        </is>
      </c>
      <c r="C1060" t="inlineStr">
        <is>
          <t>上台过7（需守庄）</t>
        </is>
      </c>
    </row>
    <row r="1063">
      <c r="A1063" s="6" t="inlineStr">
        <is>
          <t>═══ 第21局 ─ 上台过7（需守庄） ═══</t>
        </is>
      </c>
    </row>
    <row r="1064">
      <c r="A1064" s="7" t="inlineStr">
        <is>
          <t>庄家</t>
        </is>
      </c>
      <c r="C1064" t="inlineStr">
        <is>
          <t>玩家1</t>
        </is>
      </c>
    </row>
    <row r="1065">
      <c r="A1065" s="7" t="inlineStr">
        <is>
          <t>庄家方级牌</t>
        </is>
      </c>
      <c r="C1065" t="inlineStr">
        <is>
          <t>7</t>
        </is>
      </c>
    </row>
    <row r="1066">
      <c r="A1066" s="7" t="inlineStr">
        <is>
          <t>抓分方级牌</t>
        </is>
      </c>
      <c r="C1066" t="inlineStr">
        <is>
          <t>7</t>
        </is>
      </c>
    </row>
    <row r="1067">
      <c r="A1067" s="7" t="inlineStr">
        <is>
          <t>本局级牌</t>
        </is>
      </c>
      <c r="C1067" t="inlineStr">
        <is>
          <t>7</t>
        </is>
      </c>
    </row>
    <row r="1068">
      <c r="A1068" s="7" t="inlineStr">
        <is>
          <t>庄家阵营</t>
        </is>
      </c>
      <c r="C1068" t="inlineStr">
        <is>
          <t>玩家1、玩家3</t>
        </is>
      </c>
    </row>
    <row r="1069">
      <c r="A1069" s="7" t="inlineStr">
        <is>
          <t>抓分阵营</t>
        </is>
      </c>
      <c r="C1069" t="inlineStr">
        <is>
          <t>玩家2、玩家4</t>
        </is>
      </c>
    </row>
    <row r="1070">
      <c r="A1070" s="7" t="inlineStr">
        <is>
          <t>定主方式</t>
        </is>
      </c>
      <c r="C1070" t="inlineStr">
        <is>
          <t>bottom_card</t>
        </is>
      </c>
    </row>
    <row r="1071">
      <c r="A1071" s="7" t="inlineStr">
        <is>
          <t>主花色</t>
        </is>
      </c>
      <c r="C1071" t="inlineStr">
        <is>
          <t>黑桃</t>
        </is>
      </c>
    </row>
    <row r="1072">
      <c r="A1072" s="8" t="inlineStr">
        <is>
          <t>📋 初始手牌</t>
        </is>
      </c>
    </row>
    <row r="1073">
      <c r="A1073" t="inlineStr">
        <is>
          <t>玩家1</t>
        </is>
      </c>
      <c r="B1073" t="inlineStr">
        <is>
          <t>♠A ♣3 ♣8 ♣K ♦10 ♠5 小王 ♠Q ♥3 ♦K ♠J ♣Q</t>
        </is>
      </c>
    </row>
    <row r="1074">
      <c r="A1074" t="inlineStr">
        <is>
          <t>玩家2</t>
        </is>
      </c>
      <c r="B1074" t="inlineStr">
        <is>
          <t>♠4 大王 ♣9 ♥J ♥A ♦2 ♣10 ♦8 ♠9 ♦7 ♥Q ♣2</t>
        </is>
      </c>
    </row>
    <row r="1075">
      <c r="A1075" t="inlineStr">
        <is>
          <t>玩家3</t>
        </is>
      </c>
      <c r="B1075" t="inlineStr">
        <is>
          <t>♣A ♦6 ♠3 ♦4 ♣6 ♥8 ♦A ♦5 ♦Q ♥7 ♥6 ♠6</t>
        </is>
      </c>
    </row>
    <row r="1076">
      <c r="A1076" t="inlineStr">
        <is>
          <t>玩家4</t>
        </is>
      </c>
      <c r="B1076" t="inlineStr">
        <is>
          <t>♥4 ♣J ♦3 ♥K ♠10 ♥5 ♠8 ♦9 ♠K ♠2 ♣5 ♥9</t>
        </is>
      </c>
    </row>
    <row r="1077">
      <c r="A1077" s="8" t="inlineStr">
        <is>
          <t>📦 底牌信息</t>
        </is>
      </c>
    </row>
    <row r="1078">
      <c r="A1078" t="inlineStr">
        <is>
          <t>初始底牌</t>
        </is>
      </c>
      <c r="B1078" t="inlineStr">
        <is>
          <t>♠7 ♥2 ♣7 ♦J ♣4 ♥10</t>
        </is>
      </c>
    </row>
    <row r="1079">
      <c r="A1079" t="inlineStr">
        <is>
          <t>庄家埋入</t>
        </is>
      </c>
      <c r="B1079" t="inlineStr">
        <is>
          <t>♣3 ♣8 ♠J ♠Q ♣Q</t>
        </is>
      </c>
      <c r="D1079" t="inlineStr">
        <is>
          <t>♥10 ♣3 ♣8 ♠J ♠Q ♣Q</t>
        </is>
      </c>
      <c r="E1079" t="inlineStr">
        <is>
          <t>分值=10</t>
        </is>
      </c>
    </row>
    <row r="1080">
      <c r="A1080" s="8" t="inlineStr">
        <is>
          <t>📝 操作日志</t>
        </is>
      </c>
    </row>
    <row r="1081">
      <c r="A1081">
        <f>== 第21局 ===</f>
        <v/>
      </c>
    </row>
    <row r="1082">
      <c r="A1082" t="inlineStr">
        <is>
          <t>庄家方级牌=7, 抓分方级牌=7, 庄家=玩家1</t>
        </is>
      </c>
    </row>
    <row r="1083">
      <c r="A1083" t="inlineStr">
        <is>
          <t>庄家阵营: 玩1、玩3 | 抓分阵营: 玩2、玩4</t>
        </is>
      </c>
    </row>
    <row r="1084">
      <c r="A1084" t="inlineStr">
        <is>
          <t>发牌完成 | 底牌: ♠7 ♥2 ♣7 ♦J ♣4 ♥10</t>
        </is>
      </c>
    </row>
    <row r="1085">
      <c r="A1085" t="inlineStr">
        <is>
          <t>【底牌首张定主】♠7 → 主=黑桃</t>
        </is>
      </c>
    </row>
    <row r="1086">
      <c r="A1086" t="inlineStr">
        <is>
          <t>【埋底】庄家（玩1）埋 ♣3 ♣8 ♠J ♠Q ♣Q, 取回 ♠7 ♥2 ♣7 ♦J ♣4</t>
        </is>
      </c>
    </row>
    <row r="1087">
      <c r="A1087" t="inlineStr">
        <is>
          <t xml:space="preserve">  埋底后底牌: ♥10 ♣3 ♣8 ♠J ♠Q ♣Q (分值=10)</t>
        </is>
      </c>
    </row>
    <row r="1088">
      <c r="A1088" t="inlineStr">
        <is>
          <t>第1圈 [对子]: 玩1首出 → [玩1:♠7 ♣7 | 玩2:♠4 ♠9 | 玩3:♠3 ♠6 | 玩4:♠2 ♠8] → 赢: 玩4(♠2) 分=0</t>
        </is>
      </c>
    </row>
    <row r="1089">
      <c r="A1089" t="inlineStr">
        <is>
          <t>第2圈 [对子]: 玩4首出 → [玩4:♦9 ♥9 | 玩1:♦10 ♦J | 玩2:♦2 ♦7 | 玩3:♦4 ♦5] → 赢: 玩2(♦2) 分=15</t>
        </is>
      </c>
    </row>
    <row r="1090">
      <c r="A1090" t="inlineStr">
        <is>
          <t>第3圈 [单张]: 玩2首出 → [玩2:♦8 | 玩3:♦6 | 玩4:♦3 | 玩1:♦K] → 赢: 玩1(♦K) 分=10</t>
        </is>
      </c>
    </row>
    <row r="1091">
      <c r="A1091" t="inlineStr">
        <is>
          <t>第4圈 [单张]: 玩1首出 → [玩1:♣4 | 玩2:♣2 | 玩3:♣6 | 玩4:♣J] → 赢: 玩2(♣2) 分=0</t>
        </is>
      </c>
    </row>
    <row r="1092">
      <c r="A1092" t="inlineStr">
        <is>
          <t>第5圈 [单张]: 玩2首出 → [玩2:♣9 | 玩3:♣A | 玩4:♣5 | 玩1:♣K] → 赢: 玩3(♣A) 分=15</t>
        </is>
      </c>
    </row>
    <row r="1093">
      <c r="A1093" t="inlineStr">
        <is>
          <t>第6圈 [单张]: 玩3首出 → [玩3:♥6 | 玩4:♥4 | 玩1:♥2 | 玩2:♥J] → 赢: 玩1(♥2) 分=0</t>
        </is>
      </c>
    </row>
    <row r="1094">
      <c r="A1094" t="inlineStr">
        <is>
          <t>第7圈 [单张]: 玩1首出 → [玩1:♠A | 玩2:♣10 | 玩3:♥7 | 玩4:♠10] → 赢: 玩1(♠A) 分=20</t>
        </is>
      </c>
    </row>
    <row r="1095">
      <c r="A1095" t="inlineStr">
        <is>
          <t>第8圈 [单张]: 玩1首出 → [玩1:小王 | 玩2:大王 | 玩3:♥8 | 玩4:♥5] → 赢: 玩2(大王) 分=5</t>
        </is>
      </c>
    </row>
    <row r="1096">
      <c r="A1096" t="inlineStr">
        <is>
          <t>第9圈 [单张]: 玩2首出 → [玩2:♥Q | 玩3:♦Q | 玩4:♥K | 玩1:♥3] → 赢: 玩1(♥3) 分=10</t>
        </is>
      </c>
    </row>
    <row r="1097">
      <c r="A1097" t="inlineStr">
        <is>
          <t>第10圈 [单张]: 玩1首出 → [玩1:♠5 | 玩2:♥A | 玩3:♦A | 玩4:♠K] → 赢: 玩4(♠K) 分=15</t>
        </is>
      </c>
    </row>
    <row r="1098">
      <c r="A1098" t="inlineStr">
        <is>
          <t>抓分方总分=90</t>
        </is>
      </c>
    </row>
    <row r="1099">
      <c r="A1099" t="inlineStr">
        <is>
          <t>结算: 抓分=90 扣底=是 庄方+0 抓方+9</t>
        </is>
      </c>
    </row>
    <row r="1100">
      <c r="A1100" t="inlineStr">
        <is>
          <t>级牌: 庄方 7→7 | 抓方 7→16</t>
        </is>
      </c>
    </row>
    <row r="1101">
      <c r="A1101" t="inlineStr">
        <is>
          <t>⚠️ 抓分方 16 &gt; 7，强制停在7，获得庄权，需再守庄一局</t>
        </is>
      </c>
    </row>
    <row r="1102">
      <c r="A1102" t="inlineStr">
        <is>
          <t>庄家变更: → 玩2</t>
        </is>
      </c>
    </row>
    <row r="1103">
      <c r="A1103" t="inlineStr">
        <is>
          <t>级牌重置: 庄家方=7 抓分方=7</t>
        </is>
      </c>
    </row>
    <row r="1104">
      <c r="A1104" t="inlineStr">
        <is>
          <t>守庄失败，对方上台继续</t>
        </is>
      </c>
    </row>
    <row r="1105">
      <c r="A1105" t="inlineStr">
        <is>
          <t>第21局结束 | 庄家方=7 抓分方=7</t>
        </is>
      </c>
    </row>
    <row r="1106">
      <c r="A1106" s="8" t="inlineStr">
        <is>
          <t>📊 结算</t>
        </is>
      </c>
    </row>
    <row r="1107">
      <c r="A1107" s="9" t="inlineStr">
        <is>
          <t>抓分方得分</t>
        </is>
      </c>
      <c r="C1107" t="inlineStr">
        <is>
          <t>90</t>
        </is>
      </c>
    </row>
    <row r="1108">
      <c r="A1108" s="9" t="inlineStr">
        <is>
          <t>是否扣底</t>
        </is>
      </c>
      <c r="C1108" t="inlineStr">
        <is>
          <t>是</t>
        </is>
      </c>
    </row>
    <row r="1109">
      <c r="A1109" s="9" t="inlineStr">
        <is>
          <t>扣底牌</t>
        </is>
      </c>
      <c r="C1109" t="inlineStr">
        <is>
          <t>♠K</t>
        </is>
      </c>
    </row>
    <row r="1110">
      <c r="A1110" s="9" t="inlineStr">
        <is>
          <t>基础升级 抓方</t>
        </is>
      </c>
      <c r="C1110" t="inlineStr">
        <is>
          <t>+6</t>
        </is>
      </c>
    </row>
    <row r="1111">
      <c r="A1111" s="9" t="inlineStr">
        <is>
          <t>扣底加成</t>
        </is>
      </c>
      <c r="C1111" t="inlineStr">
        <is>
          <t>+3</t>
        </is>
      </c>
    </row>
    <row r="1112">
      <c r="A1112" s="9" t="inlineStr">
        <is>
          <t>总升级 抓方</t>
        </is>
      </c>
      <c r="C1112" t="inlineStr">
        <is>
          <t>+9</t>
        </is>
      </c>
    </row>
    <row r="1113">
      <c r="A1113" s="9" t="inlineStr">
        <is>
          <t>总升级 庄方</t>
        </is>
      </c>
      <c r="C1113" t="inlineStr">
        <is>
          <t>+0</t>
        </is>
      </c>
    </row>
    <row r="1114">
      <c r="A1114" s="9" t="inlineStr">
        <is>
          <t>结果</t>
        </is>
      </c>
      <c r="C1114" t="inlineStr">
        <is>
          <t>上台过7（需守庄）</t>
        </is>
      </c>
    </row>
    <row r="1117">
      <c r="A1117" s="6" t="inlineStr">
        <is>
          <t>═══ 第22局 ─ 上台过7（需守庄） ═══</t>
        </is>
      </c>
    </row>
    <row r="1118">
      <c r="A1118" s="7" t="inlineStr">
        <is>
          <t>庄家</t>
        </is>
      </c>
      <c r="C1118" t="inlineStr">
        <is>
          <t>玩家2</t>
        </is>
      </c>
    </row>
    <row r="1119">
      <c r="A1119" s="7" t="inlineStr">
        <is>
          <t>庄家方级牌</t>
        </is>
      </c>
      <c r="C1119" t="inlineStr">
        <is>
          <t>7</t>
        </is>
      </c>
    </row>
    <row r="1120">
      <c r="A1120" s="7" t="inlineStr">
        <is>
          <t>抓分方级牌</t>
        </is>
      </c>
      <c r="C1120" t="inlineStr">
        <is>
          <t>7</t>
        </is>
      </c>
    </row>
    <row r="1121">
      <c r="A1121" s="7" t="inlineStr">
        <is>
          <t>本局级牌</t>
        </is>
      </c>
      <c r="C1121" t="inlineStr">
        <is>
          <t>7</t>
        </is>
      </c>
    </row>
    <row r="1122">
      <c r="A1122" s="7" t="inlineStr">
        <is>
          <t>庄家阵营</t>
        </is>
      </c>
      <c r="C1122" t="inlineStr">
        <is>
          <t>玩家2、玩家4</t>
        </is>
      </c>
    </row>
    <row r="1123">
      <c r="A1123" s="7" t="inlineStr">
        <is>
          <t>抓分阵营</t>
        </is>
      </c>
      <c r="C1123" t="inlineStr">
        <is>
          <t>玩家3、玩家1</t>
        </is>
      </c>
    </row>
    <row r="1124">
      <c r="A1124" s="7" t="inlineStr">
        <is>
          <t>定主方式</t>
        </is>
      </c>
      <c r="C1124" t="inlineStr">
        <is>
          <t>bottom_card</t>
        </is>
      </c>
    </row>
    <row r="1125">
      <c r="A1125" s="7" t="inlineStr">
        <is>
          <t>主花色</t>
        </is>
      </c>
      <c r="C1125" t="inlineStr">
        <is>
          <t>黑桃</t>
        </is>
      </c>
    </row>
    <row r="1126">
      <c r="A1126" s="8" t="inlineStr">
        <is>
          <t>📋 初始手牌</t>
        </is>
      </c>
    </row>
    <row r="1127">
      <c r="A1127" t="inlineStr">
        <is>
          <t>玩家1</t>
        </is>
      </c>
      <c r="B1127" t="inlineStr">
        <is>
          <t>♥2 ♠7 ♣8 ♠8 ♦5 ♣J ♥3 ♥8 ♥5 ♥6 ♦A ♦Q</t>
        </is>
      </c>
    </row>
    <row r="1128">
      <c r="A1128" t="inlineStr">
        <is>
          <t>玩家2</t>
        </is>
      </c>
      <c r="B1128" t="inlineStr">
        <is>
          <t>♦K ♣4 ♣3 ♥K ♦J ♠3 ♣5 ♠Q ♦4 ♥J ♣Q 大王</t>
        </is>
      </c>
    </row>
    <row r="1129">
      <c r="A1129" t="inlineStr">
        <is>
          <t>玩家3</t>
        </is>
      </c>
      <c r="B1129" t="inlineStr">
        <is>
          <t>♣6 ♠9 ♥Q ♦10 ♥7 ♥9 ♥A ♠5 ♠4 ♦3 ♦8 ♠2</t>
        </is>
      </c>
    </row>
    <row r="1130">
      <c r="A1130" t="inlineStr">
        <is>
          <t>玩家4</t>
        </is>
      </c>
      <c r="B1130" t="inlineStr">
        <is>
          <t>♣K ♣9 ♠K ♦6 ♦7 ♠A ♥4 ♠10 ♥10 ♣A ♣7 ♣10</t>
        </is>
      </c>
    </row>
    <row r="1131">
      <c r="A1131" s="8" t="inlineStr">
        <is>
          <t>📦 底牌信息</t>
        </is>
      </c>
    </row>
    <row r="1132">
      <c r="A1132" t="inlineStr">
        <is>
          <t>初始底牌</t>
        </is>
      </c>
      <c r="B1132" t="inlineStr">
        <is>
          <t>♠6 ♣2 ♠J 小王 ♦9 ♦2</t>
        </is>
      </c>
    </row>
    <row r="1133">
      <c r="A1133" t="inlineStr">
        <is>
          <t>庄家埋入</t>
        </is>
      </c>
      <c r="B1133" t="inlineStr">
        <is>
          <t>♣3 ♠3</t>
        </is>
      </c>
      <c r="D1133" t="inlineStr">
        <is>
          <t>♠J 小王 ♦9 ♦2 ♣3 ♠3</t>
        </is>
      </c>
      <c r="E1133" t="inlineStr">
        <is>
          <t>分值=0</t>
        </is>
      </c>
    </row>
    <row r="1134">
      <c r="A1134" s="8" t="inlineStr">
        <is>
          <t>📝 操作日志</t>
        </is>
      </c>
    </row>
    <row r="1135">
      <c r="A1135">
        <f>== 第22局 ===</f>
        <v/>
      </c>
    </row>
    <row r="1136">
      <c r="A1136" t="inlineStr">
        <is>
          <t>庄家方级牌=7, 抓分方级牌=7, 庄家=玩家2</t>
        </is>
      </c>
    </row>
    <row r="1137">
      <c r="A1137" t="inlineStr">
        <is>
          <t>庄家阵营: 玩2、玩4 | 抓分阵营: 玩3、玩1</t>
        </is>
      </c>
    </row>
    <row r="1138">
      <c r="A1138" t="inlineStr">
        <is>
          <t>发牌完成 | 底牌: ♠6 ♣2 ♠J 小王 ♦9 ♦2</t>
        </is>
      </c>
    </row>
    <row r="1139">
      <c r="A1139" t="inlineStr">
        <is>
          <t>【底牌首张定主】♠6 → 主=黑桃</t>
        </is>
      </c>
    </row>
    <row r="1140">
      <c r="A1140" t="inlineStr">
        <is>
          <t>【埋底】庄家（玩2）埋 ♣3 ♠3, 取回 ♠6 ♣2</t>
        </is>
      </c>
    </row>
    <row r="1141">
      <c r="A1141" t="inlineStr">
        <is>
          <t xml:space="preserve">  埋底后底牌: ♠J 小王 ♦9 ♦2 ♣3 ♠3 (分值=0)</t>
        </is>
      </c>
    </row>
    <row r="1142">
      <c r="A1142" t="inlineStr">
        <is>
          <t>第1圈 [对子]: 玩2首出 → [玩2:♣4 ♦4 | 玩3:♦3 ♠4 | 玩4:♣7 ♣9 | 玩1:♣8 ♣J] → 赢: 玩1(♣J) 分=0</t>
        </is>
      </c>
    </row>
    <row r="1143">
      <c r="A1143" t="inlineStr">
        <is>
          <t>第2圈 [对子]: 玩1首出 → [玩1:♠8 ♥8 | 玩2:♠6 ♠Q | 玩3:♠2 ♠5 | 玩4:♠10 ♠K] → 赢: 玩3(♠2) 分=25</t>
        </is>
      </c>
    </row>
    <row r="1144">
      <c r="A1144" t="inlineStr">
        <is>
          <t>第3圈 [对子]: 玩3首出 → [玩3:♠9 ♥9 | 玩4:♥4 ♦6 | 玩1:♦5 ♥5 | 玩2:♣2 大王] → 赢: 玩2(大王) 分=10</t>
        </is>
      </c>
    </row>
    <row r="1145">
      <c r="A1145" t="inlineStr">
        <is>
          <t>第4圈 [对子]: 玩2首出 → [玩2:♦J ♥J | 玩3:♦8 ♦10 | 玩4:♦7 ♥10 | 玩1:♦Q ♦A] → 赢: 玩1(♦A) 分=20</t>
        </is>
      </c>
    </row>
    <row r="1146">
      <c r="A1146" t="inlineStr">
        <is>
          <t>第5圈 [单张]: 玩1首出 → [玩1:♥6 | 玩2:♥K | 玩3:♥A | 玩4:♣10] → 赢: 玩3(♥A) 分=20</t>
        </is>
      </c>
    </row>
    <row r="1147">
      <c r="A1147" t="inlineStr">
        <is>
          <t>第6圈 [单张]: 玩3首出 → [玩3:♣6 | 玩4:♣A | 玩1:♠7 | 玩2:♣Q] → 赢: 玩4(♣A) 分=0</t>
        </is>
      </c>
    </row>
    <row r="1148">
      <c r="A1148" t="inlineStr">
        <is>
          <t>第7圈 [单张]: 玩4首出 → [玩4:♠A | 玩1:♥2 | 玩2:♣5 | 玩3:♥7] → 赢: 玩1(♥2) 分=5</t>
        </is>
      </c>
    </row>
    <row r="1149">
      <c r="A1149" t="inlineStr">
        <is>
          <t>第8圈 [单张]: 玩1首出 → [玩1:♥3 | 玩2:♦K | 玩3:♥Q | 玩4:♣K] → 赢: 玩1(♥3) 分=20</t>
        </is>
      </c>
    </row>
    <row r="1150">
      <c r="A1150" t="inlineStr">
        <is>
          <t>抓分方总分=100</t>
        </is>
      </c>
    </row>
    <row r="1151">
      <c r="A1151" t="inlineStr">
        <is>
          <t>结算: 抓分=100 扣底=是 庄方+0 抓方+9</t>
        </is>
      </c>
    </row>
    <row r="1152">
      <c r="A1152" t="inlineStr">
        <is>
          <t>级牌: 庄方 7→7 | 抓方 7→16</t>
        </is>
      </c>
    </row>
    <row r="1153">
      <c r="A1153" t="inlineStr">
        <is>
          <t>⚠️ 抓分方 16 &gt; 7，强制停在7，获得庄权，需再守庄一局</t>
        </is>
      </c>
    </row>
    <row r="1154">
      <c r="A1154" t="inlineStr">
        <is>
          <t>庄家变更: → 玩3</t>
        </is>
      </c>
    </row>
    <row r="1155">
      <c r="A1155" t="inlineStr">
        <is>
          <t>级牌重置: 庄家方=7 抓分方=7</t>
        </is>
      </c>
    </row>
    <row r="1156">
      <c r="A1156" t="inlineStr">
        <is>
          <t>守庄失败，对方上台继续</t>
        </is>
      </c>
    </row>
    <row r="1157">
      <c r="A1157" t="inlineStr">
        <is>
          <t>第22局结束 | 庄家方=7 抓分方=7</t>
        </is>
      </c>
    </row>
    <row r="1158">
      <c r="A1158" s="8" t="inlineStr">
        <is>
          <t>📊 结算</t>
        </is>
      </c>
    </row>
    <row r="1159">
      <c r="A1159" s="9" t="inlineStr">
        <is>
          <t>抓分方得分</t>
        </is>
      </c>
      <c r="C1159" t="inlineStr">
        <is>
          <t>100</t>
        </is>
      </c>
    </row>
    <row r="1160">
      <c r="A1160" s="9" t="inlineStr">
        <is>
          <t>是否扣底</t>
        </is>
      </c>
      <c r="C1160" t="inlineStr">
        <is>
          <t>是</t>
        </is>
      </c>
    </row>
    <row r="1161">
      <c r="A1161" s="9" t="inlineStr">
        <is>
          <t>扣底牌</t>
        </is>
      </c>
      <c r="C1161" t="inlineStr">
        <is>
          <t>♥3</t>
        </is>
      </c>
    </row>
    <row r="1162">
      <c r="A1162" s="9" t="inlineStr">
        <is>
          <t>基础升级 抓方</t>
        </is>
      </c>
      <c r="C1162" t="inlineStr">
        <is>
          <t>+6</t>
        </is>
      </c>
    </row>
    <row r="1163">
      <c r="A1163" s="9" t="inlineStr">
        <is>
          <t>扣底加成</t>
        </is>
      </c>
      <c r="C1163" t="inlineStr">
        <is>
          <t>+3</t>
        </is>
      </c>
    </row>
    <row r="1164">
      <c r="A1164" s="9" t="inlineStr">
        <is>
          <t>总升级 抓方</t>
        </is>
      </c>
      <c r="C1164" t="inlineStr">
        <is>
          <t>+9</t>
        </is>
      </c>
    </row>
    <row r="1165">
      <c r="A1165" s="9" t="inlineStr">
        <is>
          <t>总升级 庄方</t>
        </is>
      </c>
      <c r="C1165" t="inlineStr">
        <is>
          <t>+0</t>
        </is>
      </c>
    </row>
    <row r="1166">
      <c r="A1166" s="9" t="inlineStr">
        <is>
          <t>结果</t>
        </is>
      </c>
      <c r="C1166" t="inlineStr">
        <is>
          <t>上台过7（需守庄）</t>
        </is>
      </c>
    </row>
    <row r="1169">
      <c r="A1169" s="6" t="inlineStr">
        <is>
          <t>═══ 第23局 ─ 上台过7（需守庄） ═══</t>
        </is>
      </c>
    </row>
    <row r="1170">
      <c r="A1170" s="7" t="inlineStr">
        <is>
          <t>庄家</t>
        </is>
      </c>
      <c r="C1170" t="inlineStr">
        <is>
          <t>玩家3</t>
        </is>
      </c>
    </row>
    <row r="1171">
      <c r="A1171" s="7" t="inlineStr">
        <is>
          <t>庄家方级牌</t>
        </is>
      </c>
      <c r="C1171" t="inlineStr">
        <is>
          <t>7</t>
        </is>
      </c>
    </row>
    <row r="1172">
      <c r="A1172" s="7" t="inlineStr">
        <is>
          <t>抓分方级牌</t>
        </is>
      </c>
      <c r="C1172" t="inlineStr">
        <is>
          <t>7</t>
        </is>
      </c>
    </row>
    <row r="1173">
      <c r="A1173" s="7" t="inlineStr">
        <is>
          <t>本局级牌</t>
        </is>
      </c>
      <c r="C1173" t="inlineStr">
        <is>
          <t>7</t>
        </is>
      </c>
    </row>
    <row r="1174">
      <c r="A1174" s="7" t="inlineStr">
        <is>
          <t>庄家阵营</t>
        </is>
      </c>
      <c r="C1174" t="inlineStr">
        <is>
          <t>玩家3、玩家1</t>
        </is>
      </c>
    </row>
    <row r="1175">
      <c r="A1175" s="7" t="inlineStr">
        <is>
          <t>抓分阵营</t>
        </is>
      </c>
      <c r="C1175" t="inlineStr">
        <is>
          <t>玩家4、玩家2</t>
        </is>
      </c>
    </row>
    <row r="1176">
      <c r="A1176" s="7" t="inlineStr">
        <is>
          <t>定主方式</t>
        </is>
      </c>
      <c r="C1176" t="inlineStr">
        <is>
          <t>bottom_card</t>
        </is>
      </c>
    </row>
    <row r="1177">
      <c r="A1177" s="7" t="inlineStr">
        <is>
          <t>主花色</t>
        </is>
      </c>
      <c r="C1177" t="inlineStr">
        <is>
          <t>黑桃</t>
        </is>
      </c>
    </row>
    <row r="1178">
      <c r="A1178" s="8" t="inlineStr">
        <is>
          <t>📋 初始手牌</t>
        </is>
      </c>
    </row>
    <row r="1179">
      <c r="A1179" t="inlineStr">
        <is>
          <t>玩家1</t>
        </is>
      </c>
      <c r="B1179" t="inlineStr">
        <is>
          <t>♦10 ♠J ♠5 ♦9 ♣5 ♣2 ♠K ♥Q ♥7 ♣8 ♣3 ♦6</t>
        </is>
      </c>
    </row>
    <row r="1180">
      <c r="A1180" t="inlineStr">
        <is>
          <t>玩家2</t>
        </is>
      </c>
      <c r="B1180" t="inlineStr">
        <is>
          <t>♣10 ♦8 ♣K ♦K ♦3 ♠6 ♥9 ♥3 ♣6 ♦2 ♠7 ♥10</t>
        </is>
      </c>
    </row>
    <row r="1181">
      <c r="A1181" t="inlineStr">
        <is>
          <t>玩家3</t>
        </is>
      </c>
      <c r="B1181" t="inlineStr">
        <is>
          <t>♥A ♣J ♥J ♣4 ♥2 ♥4 ♠9 ♠A 大王 ♥K ♠4 ♣9</t>
        </is>
      </c>
    </row>
    <row r="1182">
      <c r="A1182" t="inlineStr">
        <is>
          <t>玩家4</t>
        </is>
      </c>
      <c r="B1182" t="inlineStr">
        <is>
          <t>♦5 ♠8 ♦J ♦Q ♣7 ♣Q ♠2 ♠3 ♣A ♦7 ♦4 ♠10</t>
        </is>
      </c>
    </row>
    <row r="1183">
      <c r="A1183" s="8" t="inlineStr">
        <is>
          <t>📦 底牌信息</t>
        </is>
      </c>
    </row>
    <row r="1184">
      <c r="A1184" t="inlineStr">
        <is>
          <t>初始底牌</t>
        </is>
      </c>
      <c r="B1184" t="inlineStr">
        <is>
          <t>小王 ♥8 ♠Q ♥6 ♦A ♥5</t>
        </is>
      </c>
    </row>
    <row r="1185">
      <c r="A1185" t="inlineStr">
        <is>
          <t>庄家埋入</t>
        </is>
      </c>
      <c r="B1185" t="inlineStr">
        <is>
          <t>♣4 ♥4 ♠4</t>
        </is>
      </c>
      <c r="D1185" t="inlineStr">
        <is>
          <t>♥6 ♦A ♥5 ♣4 ♥4 ♠4</t>
        </is>
      </c>
      <c r="E1185" t="inlineStr">
        <is>
          <t>分值=5</t>
        </is>
      </c>
    </row>
    <row r="1186">
      <c r="A1186" s="8" t="inlineStr">
        <is>
          <t>📝 操作日志</t>
        </is>
      </c>
    </row>
    <row r="1187">
      <c r="A1187">
        <f>== 第23局 ===</f>
        <v/>
      </c>
    </row>
    <row r="1188">
      <c r="A1188" t="inlineStr">
        <is>
          <t>庄家方级牌=7, 抓分方级牌=7, 庄家=玩家3</t>
        </is>
      </c>
    </row>
    <row r="1189">
      <c r="A1189" t="inlineStr">
        <is>
          <t>庄家阵营: 玩3、玩1 | 抓分阵营: 玩4、玩2</t>
        </is>
      </c>
    </row>
    <row r="1190">
      <c r="A1190" t="inlineStr">
        <is>
          <t>发牌完成 | 底牌: 小王 ♥8 ♠Q ♥6 ♦A ♥5</t>
        </is>
      </c>
    </row>
    <row r="1191">
      <c r="A1191" t="inlineStr">
        <is>
          <t>【底牌首张定主】小王 → 主=黑桃</t>
        </is>
      </c>
    </row>
    <row r="1192">
      <c r="A1192" t="inlineStr">
        <is>
          <t>【埋底】庄家（玩3）埋 ♣4 ♥4 ♠4, 取回 小王 ♥8 ♠Q</t>
        </is>
      </c>
    </row>
    <row r="1193">
      <c r="A1193" t="inlineStr">
        <is>
          <t xml:space="preserve">  埋底后底牌: ♥6 ♦A ♥5 ♣4 ♥4 ♠4 (分值=5)</t>
        </is>
      </c>
    </row>
    <row r="1194">
      <c r="A1194" t="inlineStr">
        <is>
          <t>第1圈 [对子]: 玩3首出 → [玩3:♣J ♥J | 玩4:♣7 ♣Q | 玩1:♣2 ♣3 | 玩2:♣6 ♣10] → 赢: 玩1(♣2) 分=10</t>
        </is>
      </c>
    </row>
    <row r="1195">
      <c r="A1195" t="inlineStr">
        <is>
          <t>第2圈 [单张]: 玩1首出 → [玩1:♦6 | 玩2:♦2 | 玩3:♥8 | 玩4:♦4] → 赢: 玩2(♦2) 分=0</t>
        </is>
      </c>
    </row>
    <row r="1196">
      <c r="A1196" t="inlineStr">
        <is>
          <t>第3圈 [对子]: 玩2首出 → [玩2:♦3 ♥3 | 玩3:♠9 ♣9 | 玩4:♦5 ♦7 | 玩1:♦9 ♦10] → 赢: 玩2(♥3) 分=15</t>
        </is>
      </c>
    </row>
    <row r="1197">
      <c r="A1197" t="inlineStr">
        <is>
          <t>第4圈 [单张]: 玩2首出 → [玩2:♠6 | 玩3:♠Q | 玩4:♠2 | 玩1:♠J] → 赢: 玩4(♠2) 分=0</t>
        </is>
      </c>
    </row>
    <row r="1198">
      <c r="A1198" t="inlineStr">
        <is>
          <t>第5圈 [单张]: 玩4首出 → [玩4:♠3 | 玩1:♠5 | 玩2:♠7 | 玩3:♠A] → 赢: 玩3(♠A) 分=5</t>
        </is>
      </c>
    </row>
    <row r="1199">
      <c r="A1199" t="inlineStr">
        <is>
          <t>第6圈 [单张]: 玩3首出 → [玩3:♥A | 玩4:♠8 | 玩1:♥7 | 玩2:♥9] → 赢: 玩3(♥A) 分=0</t>
        </is>
      </c>
    </row>
    <row r="1200">
      <c r="A1200" t="inlineStr">
        <is>
          <t>第7圈 [单张]: 玩3首出 → [玩3:♥2 | 玩4:♠10 | 玩1:♥Q | 玩2:♥10] → 赢: 玩3(♥2) 分=20</t>
        </is>
      </c>
    </row>
    <row r="1201">
      <c r="A1201" t="inlineStr">
        <is>
          <t>第8圈 [单张]: 玩3首出 → [玩3:大王 | 玩4:♦J | 玩1:♣5 | 玩2:♦8] → 赢: 玩3(大王) 分=5</t>
        </is>
      </c>
    </row>
    <row r="1202">
      <c r="A1202" t="inlineStr">
        <is>
          <t>第9圈 [单张]: 玩3首出 → [玩3:小王 | 玩4:♦Q | 玩1:♣8 | 玩2:♣K] → 赢: 玩3(小王) 分=10</t>
        </is>
      </c>
    </row>
    <row r="1203">
      <c r="A1203" t="inlineStr">
        <is>
          <t>第10圈 [单张]: 玩3首出 → [玩3:♥K | 玩4:♣A | 玩1:♠K | 玩2:♦K] → 赢: 玩3(♥K) 分=30</t>
        </is>
      </c>
    </row>
    <row r="1204">
      <c r="A1204" t="inlineStr">
        <is>
          <t>抓分方总分=95</t>
        </is>
      </c>
    </row>
    <row r="1205">
      <c r="A1205" t="inlineStr">
        <is>
          <t>结算: 抓分=95 扣底=否 庄方+0 抓方+6</t>
        </is>
      </c>
    </row>
    <row r="1206">
      <c r="A1206" t="inlineStr">
        <is>
          <t>级牌: 庄方 7→7 | 抓方 7→13</t>
        </is>
      </c>
    </row>
    <row r="1207">
      <c r="A1207" t="inlineStr">
        <is>
          <t>⚠️ 抓分方 13 &gt; 7，强制停在7，获得庄权，需再守庄一局</t>
        </is>
      </c>
    </row>
    <row r="1208">
      <c r="A1208" t="inlineStr">
        <is>
          <t>庄家变更: → 玩4</t>
        </is>
      </c>
    </row>
    <row r="1209">
      <c r="A1209" t="inlineStr">
        <is>
          <t>级牌重置: 庄家方=7 抓分方=7</t>
        </is>
      </c>
    </row>
    <row r="1210">
      <c r="A1210" t="inlineStr">
        <is>
          <t>守庄失败，对方上台继续</t>
        </is>
      </c>
    </row>
    <row r="1211">
      <c r="A1211" t="inlineStr">
        <is>
          <t>第23局结束 | 庄家方=7 抓分方=7</t>
        </is>
      </c>
    </row>
    <row r="1212">
      <c r="A1212" s="8" t="inlineStr">
        <is>
          <t>📊 结算</t>
        </is>
      </c>
    </row>
    <row r="1213">
      <c r="A1213" s="9" t="inlineStr">
        <is>
          <t>抓分方得分</t>
        </is>
      </c>
      <c r="C1213" t="inlineStr">
        <is>
          <t>95</t>
        </is>
      </c>
    </row>
    <row r="1214">
      <c r="A1214" s="9" t="inlineStr">
        <is>
          <t>是否扣底</t>
        </is>
      </c>
      <c r="C1214" t="inlineStr">
        <is>
          <t>否</t>
        </is>
      </c>
    </row>
    <row r="1215">
      <c r="A1215" s="9" t="inlineStr">
        <is>
          <t>扣底牌</t>
        </is>
      </c>
      <c r="C1215" t="inlineStr">
        <is>
          <t>♥K</t>
        </is>
      </c>
    </row>
    <row r="1216">
      <c r="A1216" s="9" t="inlineStr">
        <is>
          <t>基础升级 抓方</t>
        </is>
      </c>
      <c r="C1216" t="inlineStr">
        <is>
          <t>+6</t>
        </is>
      </c>
    </row>
    <row r="1217">
      <c r="A1217" s="9" t="inlineStr">
        <is>
          <t>扣底加成</t>
        </is>
      </c>
      <c r="C1217" t="inlineStr">
        <is>
          <t>无</t>
        </is>
      </c>
    </row>
    <row r="1218">
      <c r="A1218" s="9" t="inlineStr">
        <is>
          <t>总升级 抓方</t>
        </is>
      </c>
      <c r="C1218" t="inlineStr">
        <is>
          <t>+6</t>
        </is>
      </c>
    </row>
    <row r="1219">
      <c r="A1219" s="9" t="inlineStr">
        <is>
          <t>总升级 庄方</t>
        </is>
      </c>
      <c r="C1219" t="inlineStr">
        <is>
          <t>+0</t>
        </is>
      </c>
    </row>
    <row r="1220">
      <c r="A1220" s="9" t="inlineStr">
        <is>
          <t>结果</t>
        </is>
      </c>
      <c r="C1220" t="inlineStr">
        <is>
          <t>上台过7（需守庄）</t>
        </is>
      </c>
    </row>
    <row r="1223">
      <c r="A1223" s="6" t="inlineStr">
        <is>
          <t>═══ 第24局 ─ 上台过7（需守庄） ═══</t>
        </is>
      </c>
    </row>
    <row r="1224">
      <c r="A1224" s="7" t="inlineStr">
        <is>
          <t>庄家</t>
        </is>
      </c>
      <c r="C1224" t="inlineStr">
        <is>
          <t>玩家4</t>
        </is>
      </c>
    </row>
    <row r="1225">
      <c r="A1225" s="7" t="inlineStr">
        <is>
          <t>庄家方级牌</t>
        </is>
      </c>
      <c r="C1225" t="inlineStr">
        <is>
          <t>7</t>
        </is>
      </c>
    </row>
    <row r="1226">
      <c r="A1226" s="7" t="inlineStr">
        <is>
          <t>抓分方级牌</t>
        </is>
      </c>
      <c r="C1226" t="inlineStr">
        <is>
          <t>7</t>
        </is>
      </c>
    </row>
    <row r="1227">
      <c r="A1227" s="7" t="inlineStr">
        <is>
          <t>本局级牌</t>
        </is>
      </c>
      <c r="C1227" t="inlineStr">
        <is>
          <t>7</t>
        </is>
      </c>
    </row>
    <row r="1228">
      <c r="A1228" s="7" t="inlineStr">
        <is>
          <t>庄家阵营</t>
        </is>
      </c>
      <c r="C1228" t="inlineStr">
        <is>
          <t>玩家4、玩家2</t>
        </is>
      </c>
    </row>
    <row r="1229">
      <c r="A1229" s="7" t="inlineStr">
        <is>
          <t>抓分阵营</t>
        </is>
      </c>
      <c r="C1229" t="inlineStr">
        <is>
          <t>玩家1、玩家3</t>
        </is>
      </c>
    </row>
    <row r="1230">
      <c r="A1230" s="7" t="inlineStr">
        <is>
          <t>定主方式</t>
        </is>
      </c>
      <c r="C1230" t="inlineStr">
        <is>
          <t>bottom_card</t>
        </is>
      </c>
    </row>
    <row r="1231">
      <c r="A1231" s="7" t="inlineStr">
        <is>
          <t>主花色</t>
        </is>
      </c>
      <c r="C1231" t="inlineStr">
        <is>
          <t>草花</t>
        </is>
      </c>
    </row>
    <row r="1232">
      <c r="A1232" s="8" t="inlineStr">
        <is>
          <t>📋 初始手牌</t>
        </is>
      </c>
    </row>
    <row r="1233">
      <c r="A1233" t="inlineStr">
        <is>
          <t>玩家1</t>
        </is>
      </c>
      <c r="B1233" t="inlineStr">
        <is>
          <t>♣3 ♠10 ♠Q ♣6 ♦9 ♥7 ♦10 ♦Q ♣J ♦4 ♣10 ♦8</t>
        </is>
      </c>
    </row>
    <row r="1234">
      <c r="A1234" t="inlineStr">
        <is>
          <t>玩家2</t>
        </is>
      </c>
      <c r="B1234" t="inlineStr">
        <is>
          <t>♦5 ♥3 ♠K ♠J ♥10 ♦2 ♥8 ♣9 ♣Q ♥K ♠6 ♥4</t>
        </is>
      </c>
    </row>
    <row r="1235">
      <c r="A1235" t="inlineStr">
        <is>
          <t>玩家3</t>
        </is>
      </c>
      <c r="B1235" t="inlineStr">
        <is>
          <t>♠3 ♦3 ♠5 ♥2 ♣2 ♣7 ♣4 ♣K ♥J ♥9 ♥5 ♥A</t>
        </is>
      </c>
    </row>
    <row r="1236">
      <c r="A1236" t="inlineStr">
        <is>
          <t>玩家4</t>
        </is>
      </c>
      <c r="B1236" t="inlineStr">
        <is>
          <t>♦A ♥6 ♠A 大王 ♠8 ♠4 ♣A ♦7 ♣5 ♦J ♦K ♠7</t>
        </is>
      </c>
    </row>
    <row r="1237">
      <c r="A1237" s="8" t="inlineStr">
        <is>
          <t>📦 底牌信息</t>
        </is>
      </c>
    </row>
    <row r="1238">
      <c r="A1238" t="inlineStr">
        <is>
          <t>初始底牌</t>
        </is>
      </c>
      <c r="B1238" t="inlineStr">
        <is>
          <t>小王 ♥Q ♠9 ♦6 ♠2 ♣8</t>
        </is>
      </c>
    </row>
    <row r="1239">
      <c r="A1239" t="inlineStr">
        <is>
          <t>庄家埋入</t>
        </is>
      </c>
      <c r="B1239" t="inlineStr">
        <is>
          <t>♠4 ♥6 ♦7 ♠7 ♠8</t>
        </is>
      </c>
      <c r="D1239" t="inlineStr">
        <is>
          <t>♣8 ♠4 ♥6 ♦7 ♠7 ♠8</t>
        </is>
      </c>
      <c r="E1239" t="inlineStr">
        <is>
          <t>分值=0</t>
        </is>
      </c>
    </row>
    <row r="1240">
      <c r="A1240" s="8" t="inlineStr">
        <is>
          <t>📝 操作日志</t>
        </is>
      </c>
    </row>
    <row r="1241">
      <c r="A1241">
        <f>== 第24局 ===</f>
        <v/>
      </c>
    </row>
    <row r="1242">
      <c r="A1242" t="inlineStr">
        <is>
          <t>庄家方级牌=7, 抓分方级牌=7, 庄家=玩家4</t>
        </is>
      </c>
    </row>
    <row r="1243">
      <c r="A1243" t="inlineStr">
        <is>
          <t>庄家阵营: 玩4、玩2 | 抓分阵营: 玩1、玩3</t>
        </is>
      </c>
    </row>
    <row r="1244">
      <c r="A1244" t="inlineStr">
        <is>
          <t>发牌完成 | 底牌: 小王 ♥Q ♠9 ♦6 ♠2 ♣8</t>
        </is>
      </c>
    </row>
    <row r="1245">
      <c r="A1245" t="inlineStr">
        <is>
          <t>【底牌首张定主】小王 → 主=草花</t>
        </is>
      </c>
    </row>
    <row r="1246">
      <c r="A1246" t="inlineStr">
        <is>
          <t>【埋底】庄家（玩4）埋 ♠4 ♥6 ♦7 ♠7 ♠8, 取回 小王 ♥Q ♠9 ♦6 ♠2</t>
        </is>
      </c>
    </row>
    <row r="1247">
      <c r="A1247" t="inlineStr">
        <is>
          <t xml:space="preserve">  埋底后底牌: ♣8 ♠4 ♥6 ♦7 ♠7 ♠8 (分值=0)</t>
        </is>
      </c>
    </row>
    <row r="1248">
      <c r="A1248" t="inlineStr">
        <is>
          <t>第1圈 [对子]: 玩4首出 → [玩4:♦A ♠A | 玩1:♦4 ♦8 | 玩2:♦2 ♦5 | 玩3:♠3 ♦3] → 赢: 玩2(♦2) 分=5</t>
        </is>
      </c>
    </row>
    <row r="1249">
      <c r="A1249" t="inlineStr">
        <is>
          <t>第2圈 [单张]: 玩2首出 → [玩2:♥4 | 玩3:♥2 | 玩4:♥Q | 玩1:♥7] → 赢: 玩3(♥2) 分=0</t>
        </is>
      </c>
    </row>
    <row r="1250">
      <c r="A1250" t="inlineStr">
        <is>
          <t>第3圈 [单张]: 玩3首出 → [玩3:♣4 | 玩4:♣A | 玩1:♣3 | 玩2:♣9] → 赢: 玩4(♣A) 分=0</t>
        </is>
      </c>
    </row>
    <row r="1251">
      <c r="A1251" t="inlineStr">
        <is>
          <t>第4圈 [单张]: 玩4首出 → [玩4:♦6 | 玩1:♦9 | 玩2:♠6 | 玩3:♠5] → 赢: 玩1(♦9) 分=5</t>
        </is>
      </c>
    </row>
    <row r="1252">
      <c r="A1252" t="inlineStr">
        <is>
          <t>第5圈 [对子]: 玩1首出 → [玩1:♠Q ♦Q | 玩2:♠J ♠K | 玩3:♣2 | 玩4:♠2 ♠9] → 赢: 玩3(♣2) 分=10</t>
        </is>
      </c>
    </row>
    <row r="1253">
      <c r="A1253" t="inlineStr">
        <is>
          <t>第6圈 [单张]: 玩3首出 → [玩3:♣7 | 玩4:♣5 | 玩1:♣10 | 玩2:♣Q] → 赢: 玩2(♣Q) 分=15</t>
        </is>
      </c>
    </row>
    <row r="1254">
      <c r="A1254" t="inlineStr">
        <is>
          <t>第7圈 [单张]: 玩2首出 → [玩2:♥8 | 玩3:♥9 | 玩4:♦J | 玩1:♣6] → 赢: 玩3(♥9) 分=0</t>
        </is>
      </c>
    </row>
    <row r="1255">
      <c r="A1255" t="inlineStr">
        <is>
          <t>第8圈 [单张]: 玩3首出 → [玩3:♥J | 玩4:♦K | 玩1:♠10 | 玩2:♥K] → 赢: 玩2(♥K) 分=30</t>
        </is>
      </c>
    </row>
    <row r="1256">
      <c r="A1256" t="inlineStr">
        <is>
          <t>第9圈 [单张]: 玩2首出 → [玩2:♥3 | 玩3:♥A | 玩4:大王 | 玩1:♦10] → 赢: 玩4(大王) 分=10</t>
        </is>
      </c>
    </row>
    <row r="1257">
      <c r="A1257" t="inlineStr">
        <is>
          <t>第10圈 [单张]: 玩4首出 → [玩4:小王 | 玩1:♣J | 玩2:♥10 | 玩3:♥5] → 赢: 玩4(小王) 分=15</t>
        </is>
      </c>
    </row>
    <row r="1258">
      <c r="A1258" t="inlineStr">
        <is>
          <t>第11圈 [单张]: 玩4首出 → [玩4:无 | 玩1:无 | 玩2:无 | 玩3:♣K] → 赢: 玩3(♣K) 分=10</t>
        </is>
      </c>
    </row>
    <row r="1259">
      <c r="A1259" t="inlineStr">
        <is>
          <t>抓分方总分=100</t>
        </is>
      </c>
    </row>
    <row r="1260">
      <c r="A1260" t="inlineStr">
        <is>
          <t>结算: 抓分=100 扣底=是 庄方+0 抓方+9</t>
        </is>
      </c>
    </row>
    <row r="1261">
      <c r="A1261" t="inlineStr">
        <is>
          <t>级牌: 庄方 7→7 | 抓方 7→16</t>
        </is>
      </c>
    </row>
    <row r="1262">
      <c r="A1262" t="inlineStr">
        <is>
          <t>⚠️ 抓分方 16 &gt; 7，强制停在7，获得庄权，需再守庄一局</t>
        </is>
      </c>
    </row>
    <row r="1263">
      <c r="A1263" t="inlineStr">
        <is>
          <t>庄家变更: → 玩1</t>
        </is>
      </c>
    </row>
    <row r="1264">
      <c r="A1264" t="inlineStr">
        <is>
          <t>级牌重置: 庄家方=7 抓分方=7</t>
        </is>
      </c>
    </row>
    <row r="1265">
      <c r="A1265" t="inlineStr">
        <is>
          <t>守庄失败，对方上台继续</t>
        </is>
      </c>
    </row>
    <row r="1266">
      <c r="A1266" t="inlineStr">
        <is>
          <t>第24局结束 | 庄家方=7 抓分方=7</t>
        </is>
      </c>
    </row>
    <row r="1267">
      <c r="A1267" s="8" t="inlineStr">
        <is>
          <t>📊 结算</t>
        </is>
      </c>
    </row>
    <row r="1268">
      <c r="A1268" s="9" t="inlineStr">
        <is>
          <t>抓分方得分</t>
        </is>
      </c>
      <c r="C1268" t="inlineStr">
        <is>
          <t>100</t>
        </is>
      </c>
    </row>
    <row r="1269">
      <c r="A1269" s="9" t="inlineStr">
        <is>
          <t>是否扣底</t>
        </is>
      </c>
      <c r="C1269" t="inlineStr">
        <is>
          <t>是</t>
        </is>
      </c>
    </row>
    <row r="1270">
      <c r="A1270" s="9" t="inlineStr">
        <is>
          <t>扣底牌</t>
        </is>
      </c>
      <c r="C1270" t="inlineStr">
        <is>
          <t>♣K</t>
        </is>
      </c>
    </row>
    <row r="1271">
      <c r="A1271" s="9" t="inlineStr">
        <is>
          <t>基础升级 抓方</t>
        </is>
      </c>
      <c r="C1271" t="inlineStr">
        <is>
          <t>+6</t>
        </is>
      </c>
    </row>
    <row r="1272">
      <c r="A1272" s="9" t="inlineStr">
        <is>
          <t>扣底加成</t>
        </is>
      </c>
      <c r="C1272" t="inlineStr">
        <is>
          <t>+3</t>
        </is>
      </c>
    </row>
    <row r="1273">
      <c r="A1273" s="9" t="inlineStr">
        <is>
          <t>总升级 抓方</t>
        </is>
      </c>
      <c r="C1273" t="inlineStr">
        <is>
          <t>+9</t>
        </is>
      </c>
    </row>
    <row r="1274">
      <c r="A1274" s="9" t="inlineStr">
        <is>
          <t>总升级 庄方</t>
        </is>
      </c>
      <c r="C1274" t="inlineStr">
        <is>
          <t>+0</t>
        </is>
      </c>
    </row>
    <row r="1275">
      <c r="A1275" s="9" t="inlineStr">
        <is>
          <t>结果</t>
        </is>
      </c>
      <c r="C1275" t="inlineStr">
        <is>
          <t>上台过7（需守庄）</t>
        </is>
      </c>
    </row>
    <row r="1278">
      <c r="A1278" s="6" t="inlineStr">
        <is>
          <t>═══ 第25局 ─ 上台过7（需守庄） ═══</t>
        </is>
      </c>
    </row>
    <row r="1279">
      <c r="A1279" s="7" t="inlineStr">
        <is>
          <t>庄家</t>
        </is>
      </c>
      <c r="C1279" t="inlineStr">
        <is>
          <t>玩家1</t>
        </is>
      </c>
    </row>
    <row r="1280">
      <c r="A1280" s="7" t="inlineStr">
        <is>
          <t>庄家方级牌</t>
        </is>
      </c>
      <c r="C1280" t="inlineStr">
        <is>
          <t>7</t>
        </is>
      </c>
    </row>
    <row r="1281">
      <c r="A1281" s="7" t="inlineStr">
        <is>
          <t>抓分方级牌</t>
        </is>
      </c>
      <c r="C1281" t="inlineStr">
        <is>
          <t>7</t>
        </is>
      </c>
    </row>
    <row r="1282">
      <c r="A1282" s="7" t="inlineStr">
        <is>
          <t>本局级牌</t>
        </is>
      </c>
      <c r="C1282" t="inlineStr">
        <is>
          <t>7</t>
        </is>
      </c>
    </row>
    <row r="1283">
      <c r="A1283" s="7" t="inlineStr">
        <is>
          <t>庄家阵营</t>
        </is>
      </c>
      <c r="C1283" t="inlineStr">
        <is>
          <t>玩家1、玩家3</t>
        </is>
      </c>
    </row>
    <row r="1284">
      <c r="A1284" s="7" t="inlineStr">
        <is>
          <t>抓分阵营</t>
        </is>
      </c>
      <c r="C1284" t="inlineStr">
        <is>
          <t>玩家2、玩家4</t>
        </is>
      </c>
    </row>
    <row r="1285">
      <c r="A1285" s="7" t="inlineStr">
        <is>
          <t>定主方式</t>
        </is>
      </c>
      <c r="C1285" t="inlineStr">
        <is>
          <t>bottom_card</t>
        </is>
      </c>
    </row>
    <row r="1286">
      <c r="A1286" s="7" t="inlineStr">
        <is>
          <t>主花色</t>
        </is>
      </c>
      <c r="C1286" t="inlineStr">
        <is>
          <t>草花</t>
        </is>
      </c>
    </row>
    <row r="1287">
      <c r="A1287" s="8" t="inlineStr">
        <is>
          <t>📋 初始手牌</t>
        </is>
      </c>
    </row>
    <row r="1288">
      <c r="A1288" t="inlineStr">
        <is>
          <t>玩家1</t>
        </is>
      </c>
      <c r="B1288" t="inlineStr">
        <is>
          <t>♠J ♦2 ♠2 ♦A ♥4 ♣K ♦7 ♥K ♣9 ♠A ♠10 ♥3</t>
        </is>
      </c>
    </row>
    <row r="1289">
      <c r="A1289" t="inlineStr">
        <is>
          <t>玩家2</t>
        </is>
      </c>
      <c r="B1289" t="inlineStr">
        <is>
          <t>♦J ♥6 ♦8 ♠5 ♦3 ♣10 ♦9 ♣2 ♥Q ♦4 ♥J ♠K</t>
        </is>
      </c>
    </row>
    <row r="1290">
      <c r="A1290" t="inlineStr">
        <is>
          <t>玩家3</t>
        </is>
      </c>
      <c r="B1290" t="inlineStr">
        <is>
          <t>♣Q ♦K ♠6 ♦5 大王 小王 ♥10 ♣5 ♥7 ♠8 ♥9 ♠4</t>
        </is>
      </c>
    </row>
    <row r="1291">
      <c r="A1291" t="inlineStr">
        <is>
          <t>玩家4</t>
        </is>
      </c>
      <c r="B1291" t="inlineStr">
        <is>
          <t>♣J ♠3 ♦6 ♠Q ♥2 ♣3 ♣6 ♥5 ♦Q ♥8 ♠7 ♣8</t>
        </is>
      </c>
    </row>
    <row r="1292">
      <c r="A1292" s="8" t="inlineStr">
        <is>
          <t>📦 底牌信息</t>
        </is>
      </c>
    </row>
    <row r="1293">
      <c r="A1293" t="inlineStr">
        <is>
          <t>初始底牌</t>
        </is>
      </c>
      <c r="B1293" t="inlineStr">
        <is>
          <t>♣A ♦10 ♥A ♣7 ♠9 ♣4</t>
        </is>
      </c>
    </row>
    <row r="1294">
      <c r="A1294" t="inlineStr">
        <is>
          <t>庄家埋入</t>
        </is>
      </c>
      <c r="B1294" t="inlineStr">
        <is>
          <t>♥4 ♦7 ♣9 ♠J ♦A</t>
        </is>
      </c>
      <c r="D1294" t="inlineStr">
        <is>
          <t>♣4 ♥4 ♦7 ♣9 ♠J ♦A</t>
        </is>
      </c>
      <c r="E1294" t="inlineStr">
        <is>
          <t>分值=0</t>
        </is>
      </c>
    </row>
    <row r="1295">
      <c r="A1295" s="8" t="inlineStr">
        <is>
          <t>📝 操作日志</t>
        </is>
      </c>
    </row>
    <row r="1296">
      <c r="A1296">
        <f>== 第25局 ===</f>
        <v/>
      </c>
    </row>
    <row r="1297">
      <c r="A1297" t="inlineStr">
        <is>
          <t>庄家方级牌=7, 抓分方级牌=7, 庄家=玩家1</t>
        </is>
      </c>
    </row>
    <row r="1298">
      <c r="A1298" t="inlineStr">
        <is>
          <t>庄家阵营: 玩1、玩3 | 抓分阵营: 玩2、玩4</t>
        </is>
      </c>
    </row>
    <row r="1299">
      <c r="A1299" t="inlineStr">
        <is>
          <t>发牌完成 | 底牌: ♣A ♦10 ♥A ♣7 ♠9 ♣4</t>
        </is>
      </c>
    </row>
    <row r="1300">
      <c r="A1300" t="inlineStr">
        <is>
          <t>【底牌首张定主】♣A → 主=草花</t>
        </is>
      </c>
    </row>
    <row r="1301">
      <c r="A1301" t="inlineStr">
        <is>
          <t>【埋底】庄家（玩1）埋 ♥4 ♦7 ♣9 ♠J ♦A, 取回 ♣A ♦10 ♥A ♣7 ♠9</t>
        </is>
      </c>
    </row>
    <row r="1302">
      <c r="A1302" t="inlineStr">
        <is>
          <t xml:space="preserve">  埋底后底牌: ♣4 ♥4 ♦7 ♣9 ♠J ♦A (分值=0)</t>
        </is>
      </c>
    </row>
    <row r="1303">
      <c r="A1303" t="inlineStr">
        <is>
          <t>第1圈 [对子]: 玩1首出 → [玩1:♠A ♣A | 玩2:♠5 ♠K | 玩3:♠4 ♠6 | 玩4:♠3 ♠7] → 赢: 玩1(♠A) 分=15</t>
        </is>
      </c>
    </row>
    <row r="1304">
      <c r="A1304" t="inlineStr">
        <is>
          <t>第2圈 [对子]: 玩1首出 → [玩1:♦2 ♠2 | 玩2:♦3 ♦4 | 玩3:♦5 ♦K | 玩4:♦6 ♦Q] → 赢: 玩1(♠2) 分=15</t>
        </is>
      </c>
    </row>
    <row r="1305">
      <c r="A1305" t="inlineStr">
        <is>
          <t>第3圈 [单张]: 玩1首出 → [玩1:♣7 | 玩2:♣2 | 玩3:♣Q | 玩4:♣3] → 赢: 玩2(♣2) 分=0</t>
        </is>
      </c>
    </row>
    <row r="1306">
      <c r="A1306" t="inlineStr">
        <is>
          <t>第4圈 [对子]: 玩2首出 → [玩2:♦J ♥J | 玩3:♣5 ♥7 | 玩4:♥2 | 玩1:♥3] → 赢: 玩1(♥3) 分=5</t>
        </is>
      </c>
    </row>
    <row r="1307">
      <c r="A1307" t="inlineStr">
        <is>
          <t>第5圈 [单张]: 玩1首出 → [玩1:♠9 | 玩2:♥6 | 玩3:♠8 | 玩4:♠Q] → 赢: 玩4(♠Q) 分=0</t>
        </is>
      </c>
    </row>
    <row r="1308">
      <c r="A1308" t="inlineStr">
        <is>
          <t>第6圈 [对子]: 玩4首出 → [玩4:♥8 ♣8 | 玩1:♥K ♥A | 玩2:♦8 ♦9 | 玩3:♥9 ♥10] → 赢: 玩1(♥A) 分=20</t>
        </is>
      </c>
    </row>
    <row r="1309">
      <c r="A1309" t="inlineStr">
        <is>
          <t>第7圈 [单张]: 玩1首出 → [玩1:♠10 | 玩2:♣10 | 玩3:小王 | 玩4:♥5] → 赢: 玩3(小王) 分=25</t>
        </is>
      </c>
    </row>
    <row r="1310">
      <c r="A1310" t="inlineStr">
        <is>
          <t>第8圈 [单张]: 玩3首出 → [玩3:大王 | 玩4:♣6 | 玩1:♦10 | 玩2:♥Q] → 赢: 玩3(大王) 分=10</t>
        </is>
      </c>
    </row>
    <row r="1311">
      <c r="A1311" t="inlineStr">
        <is>
          <t>第9圈 [单张]: 玩3首出 → [玩3:无 | 玩4:♣J | 玩1:♣K | 玩2:无] → 赢: 玩1(♣K) 分=10</t>
        </is>
      </c>
    </row>
    <row r="1312">
      <c r="A1312" t="inlineStr">
        <is>
          <t>抓分方总分=100</t>
        </is>
      </c>
    </row>
    <row r="1313">
      <c r="A1313" t="inlineStr">
        <is>
          <t>结算: 抓分=100 扣底=否 庄方+0 抓方+6</t>
        </is>
      </c>
    </row>
    <row r="1314">
      <c r="A1314" t="inlineStr">
        <is>
          <t>级牌: 庄方 7→7 | 抓方 7→13</t>
        </is>
      </c>
    </row>
    <row r="1315">
      <c r="A1315" t="inlineStr">
        <is>
          <t>⚠️ 抓分方 13 &gt; 7，强制停在7，获得庄权，需再守庄一局</t>
        </is>
      </c>
    </row>
    <row r="1316">
      <c r="A1316" t="inlineStr">
        <is>
          <t>庄家变更: → 玩2</t>
        </is>
      </c>
    </row>
    <row r="1317">
      <c r="A1317" t="inlineStr">
        <is>
          <t>级牌重置: 庄家方=7 抓分方=7</t>
        </is>
      </c>
    </row>
    <row r="1318">
      <c r="A1318" t="inlineStr">
        <is>
          <t>守庄失败，对方上台继续</t>
        </is>
      </c>
    </row>
    <row r="1319">
      <c r="A1319" t="inlineStr">
        <is>
          <t>第25局结束 | 庄家方=7 抓分方=7</t>
        </is>
      </c>
    </row>
    <row r="1320">
      <c r="A1320" s="8" t="inlineStr">
        <is>
          <t>📊 结算</t>
        </is>
      </c>
    </row>
    <row r="1321">
      <c r="A1321" s="9" t="inlineStr">
        <is>
          <t>抓分方得分</t>
        </is>
      </c>
      <c r="C1321" t="inlineStr">
        <is>
          <t>100</t>
        </is>
      </c>
    </row>
    <row r="1322">
      <c r="A1322" s="9" t="inlineStr">
        <is>
          <t>是否扣底</t>
        </is>
      </c>
      <c r="C1322" t="inlineStr">
        <is>
          <t>否</t>
        </is>
      </c>
    </row>
    <row r="1323">
      <c r="A1323" s="9" t="inlineStr">
        <is>
          <t>扣底牌</t>
        </is>
      </c>
      <c r="C1323" t="inlineStr">
        <is>
          <t>♣K</t>
        </is>
      </c>
    </row>
    <row r="1324">
      <c r="A1324" s="9" t="inlineStr">
        <is>
          <t>基础升级 抓方</t>
        </is>
      </c>
      <c r="C1324" t="inlineStr">
        <is>
          <t>+6</t>
        </is>
      </c>
    </row>
    <row r="1325">
      <c r="A1325" s="9" t="inlineStr">
        <is>
          <t>扣底加成</t>
        </is>
      </c>
      <c r="C1325" t="inlineStr">
        <is>
          <t>无</t>
        </is>
      </c>
    </row>
    <row r="1326">
      <c r="A1326" s="9" t="inlineStr">
        <is>
          <t>总升级 抓方</t>
        </is>
      </c>
      <c r="C1326" t="inlineStr">
        <is>
          <t>+6</t>
        </is>
      </c>
    </row>
    <row r="1327">
      <c r="A1327" s="9" t="inlineStr">
        <is>
          <t>总升级 庄方</t>
        </is>
      </c>
      <c r="C1327" t="inlineStr">
        <is>
          <t>+0</t>
        </is>
      </c>
    </row>
    <row r="1328">
      <c r="A1328" s="9" t="inlineStr">
        <is>
          <t>结果</t>
        </is>
      </c>
      <c r="C1328" t="inlineStr">
        <is>
          <t>上台过7（需守庄）</t>
        </is>
      </c>
    </row>
    <row r="1331">
      <c r="A1331" s="6" t="inlineStr">
        <is>
          <t>═══ 第26局 ─ 上台过7（需守庄） ═══</t>
        </is>
      </c>
    </row>
    <row r="1332">
      <c r="A1332" s="7" t="inlineStr">
        <is>
          <t>庄家</t>
        </is>
      </c>
      <c r="C1332" t="inlineStr">
        <is>
          <t>玩家2</t>
        </is>
      </c>
    </row>
    <row r="1333">
      <c r="A1333" s="7" t="inlineStr">
        <is>
          <t>庄家方级牌</t>
        </is>
      </c>
      <c r="C1333" t="inlineStr">
        <is>
          <t>7</t>
        </is>
      </c>
    </row>
    <row r="1334">
      <c r="A1334" s="7" t="inlineStr">
        <is>
          <t>抓分方级牌</t>
        </is>
      </c>
      <c r="C1334" t="inlineStr">
        <is>
          <t>7</t>
        </is>
      </c>
    </row>
    <row r="1335">
      <c r="A1335" s="7" t="inlineStr">
        <is>
          <t>本局级牌</t>
        </is>
      </c>
      <c r="C1335" t="inlineStr">
        <is>
          <t>7</t>
        </is>
      </c>
    </row>
    <row r="1336">
      <c r="A1336" s="7" t="inlineStr">
        <is>
          <t>庄家阵营</t>
        </is>
      </c>
      <c r="C1336" t="inlineStr">
        <is>
          <t>玩家2、玩家4</t>
        </is>
      </c>
    </row>
    <row r="1337">
      <c r="A1337" s="7" t="inlineStr">
        <is>
          <t>抓分阵营</t>
        </is>
      </c>
      <c r="C1337" t="inlineStr">
        <is>
          <t>玩家3、玩家1</t>
        </is>
      </c>
    </row>
    <row r="1338">
      <c r="A1338" s="7" t="inlineStr">
        <is>
          <t>定主方式</t>
        </is>
      </c>
      <c r="C1338" t="inlineStr">
        <is>
          <t>bottom_card</t>
        </is>
      </c>
    </row>
    <row r="1339">
      <c r="A1339" s="7" t="inlineStr">
        <is>
          <t>主花色</t>
        </is>
      </c>
      <c r="C1339" t="inlineStr">
        <is>
          <t>红桃</t>
        </is>
      </c>
    </row>
    <row r="1340">
      <c r="A1340" s="8" t="inlineStr">
        <is>
          <t>📋 初始手牌</t>
        </is>
      </c>
    </row>
    <row r="1341">
      <c r="A1341" t="inlineStr">
        <is>
          <t>玩家1</t>
        </is>
      </c>
      <c r="B1341" t="inlineStr">
        <is>
          <t>♦4 ♠K ♠5 ♠8 ♣J ♣7 ♠7 ♣A ♠6 ♥5 ♠4 ♠J</t>
        </is>
      </c>
    </row>
    <row r="1342">
      <c r="A1342" t="inlineStr">
        <is>
          <t>玩家2</t>
        </is>
      </c>
      <c r="B1342" t="inlineStr">
        <is>
          <t>♣5 ♥10 ♣9 ♥8 ♦10 ♦6 ♥J ♠10 ♣8 ♦A ♠Q ♥6</t>
        </is>
      </c>
    </row>
    <row r="1343">
      <c r="A1343" t="inlineStr">
        <is>
          <t>玩家3</t>
        </is>
      </c>
      <c r="B1343" t="inlineStr">
        <is>
          <t>小王 ♠A ♣2 ♥A ♦J ♣6 ♣4 大王 ♦8 ♦7 ♦9 ♣K</t>
        </is>
      </c>
    </row>
    <row r="1344">
      <c r="A1344" t="inlineStr">
        <is>
          <t>玩家4</t>
        </is>
      </c>
      <c r="B1344" t="inlineStr">
        <is>
          <t>♠9 ♦2 ♦K ♣Q ♣10 ♥9 ♣3 ♥7 ♥3 ♦Q ♥4 ♦3</t>
        </is>
      </c>
    </row>
    <row r="1345">
      <c r="A1345" s="8" t="inlineStr">
        <is>
          <t>📦 底牌信息</t>
        </is>
      </c>
    </row>
    <row r="1346">
      <c r="A1346" t="inlineStr">
        <is>
          <t>初始底牌</t>
        </is>
      </c>
      <c r="B1346" t="inlineStr">
        <is>
          <t>♥2 ♠2 ♠3 ♥K ♦5 ♥Q</t>
        </is>
      </c>
    </row>
    <row r="1347">
      <c r="A1347" t="inlineStr">
        <is>
          <t>庄家埋入</t>
        </is>
      </c>
      <c r="B1347" t="inlineStr">
        <is>
          <t>♦6 ♥6 ♥8 ♣8</t>
        </is>
      </c>
      <c r="D1347" t="inlineStr">
        <is>
          <t>♦5 ♥Q ♦6 ♥6 ♥8 ♣8</t>
        </is>
      </c>
      <c r="E1347" t="inlineStr">
        <is>
          <t>分值=5</t>
        </is>
      </c>
    </row>
    <row r="1348">
      <c r="A1348" s="8" t="inlineStr">
        <is>
          <t>📝 操作日志</t>
        </is>
      </c>
    </row>
    <row r="1349">
      <c r="A1349">
        <f>== 第26局 ===</f>
        <v/>
      </c>
    </row>
    <row r="1350">
      <c r="A1350" t="inlineStr">
        <is>
          <t>庄家方级牌=7, 抓分方级牌=7, 庄家=玩家2</t>
        </is>
      </c>
    </row>
    <row r="1351">
      <c r="A1351" t="inlineStr">
        <is>
          <t>庄家阵营: 玩2、玩4 | 抓分阵营: 玩3、玩1</t>
        </is>
      </c>
    </row>
    <row r="1352">
      <c r="A1352" t="inlineStr">
        <is>
          <t>发牌完成 | 底牌: ♥2 ♠2 ♠3 ♥K ♦5 ♥Q</t>
        </is>
      </c>
    </row>
    <row r="1353">
      <c r="A1353" t="inlineStr">
        <is>
          <t>【底牌首张定主】♥2 → 主=红桃</t>
        </is>
      </c>
    </row>
    <row r="1354">
      <c r="A1354" t="inlineStr">
        <is>
          <t>【埋底】庄家（玩2）埋 ♦6 ♥6 ♥8 ♣8, 取回 ♥2 ♠2 ♠3 ♥K</t>
        </is>
      </c>
    </row>
    <row r="1355">
      <c r="A1355" t="inlineStr">
        <is>
          <t xml:space="preserve">  埋底后底牌: ♦5 ♥Q ♦6 ♥6 ♥8 ♣8 (分值=5)</t>
        </is>
      </c>
    </row>
    <row r="1356">
      <c r="A1356" t="inlineStr">
        <is>
          <t>第1圈 [对子]: 玩2首出 → [玩2:♥2 ♠2 | 玩3:♣4 ♣6 | 玩4:♥3 ♥4 | 玩1:♦4 ♠4] → 赢: 玩2(♠2) 分=0</t>
        </is>
      </c>
    </row>
    <row r="1357">
      <c r="A1357" t="inlineStr">
        <is>
          <t>第2圈 [单张]: 玩2首出 → [玩2:♠3 | 玩3:♠A | 玩4:♠9 | 玩1:♠6] → 赢: 玩3(♠A) 分=0</t>
        </is>
      </c>
    </row>
    <row r="1358">
      <c r="A1358" t="inlineStr">
        <is>
          <t>第3圈 [单张]: 玩3首出 → [玩3:♦7 | 玩4:♦2 | 玩1:♠5 | 玩2:♦10] → 赢: 玩4(♦2) 分=15</t>
        </is>
      </c>
    </row>
    <row r="1359">
      <c r="A1359" t="inlineStr">
        <is>
          <t>第4圈 [对子]: 玩4首出 → [玩4:♣3 ♦3 | 玩1:♣7 ♣J | 玩2:♣5 ♣9 | 玩3:♣2 ♣K] → 赢: 玩3(♣2) 分=15</t>
        </is>
      </c>
    </row>
    <row r="1360">
      <c r="A1360" t="inlineStr">
        <is>
          <t>第5圈 [单张]: 玩3首出 → [玩3:♦8 | 玩4:♦Q | 玩1:♥5 | 玩2:♦A] → 赢: 玩2(♦A) 分=5</t>
        </is>
      </c>
    </row>
    <row r="1361">
      <c r="A1361" t="inlineStr">
        <is>
          <t>第6圈 [单张]: 玩2首出 → [玩2:♥J | 玩3:♥A | 玩4:♥7 | 玩1:♠7] → 赢: 玩3(♥A) 分=0</t>
        </is>
      </c>
    </row>
    <row r="1362">
      <c r="A1362" t="inlineStr">
        <is>
          <t>第7圈 [单张]: 玩3首出 → [玩3:♦9 | 玩4:♦K | 玩1:♠8 | 玩2:♥10] → 赢: 玩4(♦K) 分=20</t>
        </is>
      </c>
    </row>
    <row r="1363">
      <c r="A1363" t="inlineStr">
        <is>
          <t>第8圈 [单张]: 玩4首出 → [玩4:♥9 | 玩1:♠J | 玩2:♥K | 玩3:小王] → 赢: 玩3(小王) 分=10</t>
        </is>
      </c>
    </row>
    <row r="1364">
      <c r="A1364" t="inlineStr">
        <is>
          <t>第9圈 [单张]: 玩3首出 → [玩3:♦J | 玩4:♣10 | 玩1:♠K | 玩2:♠10] → 赢: 玩3(♦J) 分=30</t>
        </is>
      </c>
    </row>
    <row r="1365">
      <c r="A1365" t="inlineStr">
        <is>
          <t>第10圈 [单张]: 玩3首出 → [玩3:大王 | 玩4:♣Q | 玩1:♣A | 玩2:♠Q] → 赢: 玩3(大王) 分=0</t>
        </is>
      </c>
    </row>
    <row r="1366">
      <c r="A1366" t="inlineStr">
        <is>
          <t>抓分方总分=95</t>
        </is>
      </c>
    </row>
    <row r="1367">
      <c r="A1367" t="inlineStr">
        <is>
          <t>结算: 抓分=95 扣底=是 庄方+0 抓方+10</t>
        </is>
      </c>
    </row>
    <row r="1368">
      <c r="A1368" t="inlineStr">
        <is>
          <t>级牌: 庄方 7→7 | 抓方 7→17</t>
        </is>
      </c>
    </row>
    <row r="1369">
      <c r="A1369" t="inlineStr">
        <is>
          <t>⚠️ 抓分方 17 &gt; 7，强制停在7，获得庄权，需再守庄一局</t>
        </is>
      </c>
    </row>
    <row r="1370">
      <c r="A1370" t="inlineStr">
        <is>
          <t>庄家变更: → 玩3</t>
        </is>
      </c>
    </row>
    <row r="1371">
      <c r="A1371" t="inlineStr">
        <is>
          <t>级牌重置: 庄家方=7 抓分方=7</t>
        </is>
      </c>
    </row>
    <row r="1372">
      <c r="A1372" t="inlineStr">
        <is>
          <t>守庄失败，对方上台继续</t>
        </is>
      </c>
    </row>
    <row r="1373">
      <c r="A1373" t="inlineStr">
        <is>
          <t>第26局结束 | 庄家方=7 抓分方=7</t>
        </is>
      </c>
    </row>
    <row r="1374">
      <c r="A1374" s="8" t="inlineStr">
        <is>
          <t>📊 结算</t>
        </is>
      </c>
    </row>
    <row r="1375">
      <c r="A1375" s="9" t="inlineStr">
        <is>
          <t>抓分方得分</t>
        </is>
      </c>
      <c r="C1375" t="inlineStr">
        <is>
          <t>95</t>
        </is>
      </c>
    </row>
    <row r="1376">
      <c r="A1376" s="9" t="inlineStr">
        <is>
          <t>是否扣底</t>
        </is>
      </c>
      <c r="C1376" t="inlineStr">
        <is>
          <t>是</t>
        </is>
      </c>
    </row>
    <row r="1377">
      <c r="A1377" s="9" t="inlineStr">
        <is>
          <t>扣底牌</t>
        </is>
      </c>
      <c r="C1377" t="inlineStr">
        <is>
          <t>大王</t>
        </is>
      </c>
    </row>
    <row r="1378">
      <c r="A1378" s="9" t="inlineStr">
        <is>
          <t>基础升级 抓方</t>
        </is>
      </c>
      <c r="C1378" t="inlineStr">
        <is>
          <t>+6</t>
        </is>
      </c>
    </row>
    <row r="1379">
      <c r="A1379" s="9" t="inlineStr">
        <is>
          <t>扣底加成</t>
        </is>
      </c>
      <c r="C1379" t="inlineStr">
        <is>
          <t>+4</t>
        </is>
      </c>
    </row>
    <row r="1380">
      <c r="A1380" s="9" t="inlineStr">
        <is>
          <t>总升级 抓方</t>
        </is>
      </c>
      <c r="C1380" t="inlineStr">
        <is>
          <t>+10</t>
        </is>
      </c>
    </row>
    <row r="1381">
      <c r="A1381" s="9" t="inlineStr">
        <is>
          <t>总升级 庄方</t>
        </is>
      </c>
      <c r="C1381" t="inlineStr">
        <is>
          <t>+0</t>
        </is>
      </c>
    </row>
    <row r="1382">
      <c r="A1382" s="9" t="inlineStr">
        <is>
          <t>结果</t>
        </is>
      </c>
      <c r="C1382" t="inlineStr">
        <is>
          <t>上台过7（需守庄）</t>
        </is>
      </c>
    </row>
    <row r="1385">
      <c r="A1385" s="6" t="inlineStr">
        <is>
          <t>═══ 第27局 ─ 上台过7（需守庄） ═══</t>
        </is>
      </c>
    </row>
    <row r="1386">
      <c r="A1386" s="7" t="inlineStr">
        <is>
          <t>庄家</t>
        </is>
      </c>
      <c r="C1386" t="inlineStr">
        <is>
          <t>玩家3</t>
        </is>
      </c>
    </row>
    <row r="1387">
      <c r="A1387" s="7" t="inlineStr">
        <is>
          <t>庄家方级牌</t>
        </is>
      </c>
      <c r="C1387" t="inlineStr">
        <is>
          <t>7</t>
        </is>
      </c>
    </row>
    <row r="1388">
      <c r="A1388" s="7" t="inlineStr">
        <is>
          <t>抓分方级牌</t>
        </is>
      </c>
      <c r="C1388" t="inlineStr">
        <is>
          <t>7</t>
        </is>
      </c>
    </row>
    <row r="1389">
      <c r="A1389" s="7" t="inlineStr">
        <is>
          <t>本局级牌</t>
        </is>
      </c>
      <c r="C1389" t="inlineStr">
        <is>
          <t>7</t>
        </is>
      </c>
    </row>
    <row r="1390">
      <c r="A1390" s="7" t="inlineStr">
        <is>
          <t>庄家阵营</t>
        </is>
      </c>
      <c r="C1390" t="inlineStr">
        <is>
          <t>玩家3、玩家1</t>
        </is>
      </c>
    </row>
    <row r="1391">
      <c r="A1391" s="7" t="inlineStr">
        <is>
          <t>抓分阵营</t>
        </is>
      </c>
      <c r="C1391" t="inlineStr">
        <is>
          <t>玩家4、玩家2</t>
        </is>
      </c>
    </row>
    <row r="1392">
      <c r="A1392" s="7" t="inlineStr">
        <is>
          <t>定主方式</t>
        </is>
      </c>
      <c r="C1392" t="inlineStr">
        <is>
          <t>bottom_card</t>
        </is>
      </c>
    </row>
    <row r="1393">
      <c r="A1393" s="7" t="inlineStr">
        <is>
          <t>主花色</t>
        </is>
      </c>
      <c r="C1393" t="inlineStr">
        <is>
          <t>草花</t>
        </is>
      </c>
    </row>
    <row r="1394">
      <c r="A1394" s="8" t="inlineStr">
        <is>
          <t>📋 初始手牌</t>
        </is>
      </c>
    </row>
    <row r="1395">
      <c r="A1395" t="inlineStr">
        <is>
          <t>玩家1</t>
        </is>
      </c>
      <c r="B1395" t="inlineStr">
        <is>
          <t>♦7 小王 ♥3 ♠10 ♣J ♠K ♣10 ♠8 ♥Q ♠A ♦5 ♣4</t>
        </is>
      </c>
    </row>
    <row r="1396">
      <c r="A1396" t="inlineStr">
        <is>
          <t>玩家2</t>
        </is>
      </c>
      <c r="B1396" t="inlineStr">
        <is>
          <t>♥4 ♦4 ♠J ♠7 ♥7 ♠2 ♥J ♦K ♣8 ♣6 ♥8 ♠Q</t>
        </is>
      </c>
    </row>
    <row r="1397">
      <c r="A1397" t="inlineStr">
        <is>
          <t>玩家3</t>
        </is>
      </c>
      <c r="B1397" t="inlineStr">
        <is>
          <t>♥6 ♥5 ♥K ♦9 ♠6 ♣2 ♥9 ♣Q ♦6 ♦10 ♦3 ♦8</t>
        </is>
      </c>
    </row>
    <row r="1398">
      <c r="A1398" t="inlineStr">
        <is>
          <t>玩家4</t>
        </is>
      </c>
      <c r="B1398" t="inlineStr">
        <is>
          <t>♦J ♠3 ♠4 ♣K ♣A ♥A ♠5 ♦A ♦Q ♣9 ♥2 ♦2</t>
        </is>
      </c>
    </row>
    <row r="1399">
      <c r="A1399" s="8" t="inlineStr">
        <is>
          <t>📦 底牌信息</t>
        </is>
      </c>
    </row>
    <row r="1400">
      <c r="A1400" t="inlineStr">
        <is>
          <t>初始底牌</t>
        </is>
      </c>
      <c r="B1400" t="inlineStr">
        <is>
          <t>♣7 大王 ♣5 ♥10 ♣3 ♠9</t>
        </is>
      </c>
    </row>
    <row r="1401">
      <c r="A1401" t="inlineStr">
        <is>
          <t>庄家埋入</t>
        </is>
      </c>
      <c r="B1401" t="inlineStr">
        <is>
          <t>♦3 ♥6</t>
        </is>
      </c>
      <c r="D1401" t="inlineStr">
        <is>
          <t>♣5 ♥10 ♣3 ♠9 ♦3 ♥6</t>
        </is>
      </c>
      <c r="E1401" t="inlineStr">
        <is>
          <t>分值=15</t>
        </is>
      </c>
    </row>
    <row r="1402">
      <c r="A1402" s="8" t="inlineStr">
        <is>
          <t>📝 操作日志</t>
        </is>
      </c>
    </row>
    <row r="1403">
      <c r="A1403">
        <f>== 第27局 ===</f>
        <v/>
      </c>
    </row>
    <row r="1404">
      <c r="A1404" t="inlineStr">
        <is>
          <t>庄家方级牌=7, 抓分方级牌=7, 庄家=玩家3</t>
        </is>
      </c>
    </row>
    <row r="1405">
      <c r="A1405" t="inlineStr">
        <is>
          <t>庄家阵营: 玩3、玩1 | 抓分阵营: 玩4、玩2</t>
        </is>
      </c>
    </row>
    <row r="1406">
      <c r="A1406" t="inlineStr">
        <is>
          <t>发牌完成 | 底牌: ♣7 大王 ♣5 ♥10 ♣3 ♠9</t>
        </is>
      </c>
    </row>
    <row r="1407">
      <c r="A1407" t="inlineStr">
        <is>
          <t>【底牌首张定主】♣7 → 主=草花</t>
        </is>
      </c>
    </row>
    <row r="1408">
      <c r="A1408" t="inlineStr">
        <is>
          <t>【埋底】庄家（玩3）埋 ♦3 ♥6, 取回 ♣7 大王</t>
        </is>
      </c>
    </row>
    <row r="1409">
      <c r="A1409" t="inlineStr">
        <is>
          <t xml:space="preserve">  埋底后底牌: ♣5 ♥10 ♣3 ♠9 ♦3 ♥6 (分值=15)</t>
        </is>
      </c>
    </row>
    <row r="1410">
      <c r="A1410" t="inlineStr">
        <is>
          <t>第1圈 [对子]: 玩3首出 → [玩3:♠6 ♦6 | 玩4:♠3 ♠4 | 玩1:♠8 ♠10 | 玩2:♠2 ♠7] → 赢: 玩2(♠2) 分=10</t>
        </is>
      </c>
    </row>
    <row r="1411">
      <c r="A1411" t="inlineStr">
        <is>
          <t>第2圈 [对子]: 玩2首出 → [玩2:♥4 ♦4 | 玩3:♥5 ♥9 | 玩4:♥2 ♥A | 玩1:♥3 ♥Q] → 赢: 玩1(♥3) 分=5</t>
        </is>
      </c>
    </row>
    <row r="1412">
      <c r="A1412" t="inlineStr">
        <is>
          <t>第3圈 [单张]: 玩1首出 → [玩1:♣4 | 玩2:♣6 | 玩3:♣2 | 玩4:♣9] → 赢: 玩3(♣2) 分=0</t>
        </is>
      </c>
    </row>
    <row r="1413">
      <c r="A1413" t="inlineStr">
        <is>
          <t>第4圈 [单张]: 玩3首出 → [玩3:♣7 | 玩4:♣A | 玩1:♣J | 玩2:♣8] → 赢: 玩4(♣A) 分=0</t>
        </is>
      </c>
    </row>
    <row r="1414">
      <c r="A1414" t="inlineStr">
        <is>
          <t>第5圈 [单张]: 玩4首出 → [玩4:♦J | 玩1:♦7 | 玩2:♦K | 玩3:♦8] → 赢: 玩2(♦K) 分=10</t>
        </is>
      </c>
    </row>
    <row r="1415">
      <c r="A1415" t="inlineStr">
        <is>
          <t>第6圈 [对子]: 玩2首出 → [玩2:♠J ♥J | 玩3:♦9 ♦10 | 玩4:♦2 | 玩1:♠K ♠A] → 赢: 玩4(♦2) 分=20</t>
        </is>
      </c>
    </row>
    <row r="1416">
      <c r="A1416" t="inlineStr">
        <is>
          <t>第7圈 [单张]: 玩4首出 → [玩4:♦Q | 玩1:♦5 | 玩2:♥7 | 玩3:大王] → 赢: 玩3(大王) 分=5</t>
        </is>
      </c>
    </row>
    <row r="1417">
      <c r="A1417" t="inlineStr">
        <is>
          <t>第8圈 [单张]: 玩3首出 → [玩3:♣Q | 玩4:♣K | 玩1:♣10 | 玩2:♥8] → 赢: 玩4(♣K) 分=20</t>
        </is>
      </c>
    </row>
    <row r="1418">
      <c r="A1418" t="inlineStr">
        <is>
          <t>第9圈 [单张]: 玩4首出 → [玩4:♦A | 玩1:小王 | 玩2:♠Q | 玩3:♥K] → 赢: 玩1(小王) 分=10</t>
        </is>
      </c>
    </row>
    <row r="1419">
      <c r="A1419" t="inlineStr">
        <is>
          <t>第10圈 [单张]: 玩1首出 → [玩1:无 | 玩2:无 | 玩3:无 | 玩4:♠5] → 赢: 玩4(♠5) 分=5</t>
        </is>
      </c>
    </row>
    <row r="1420">
      <c r="A1420" t="inlineStr">
        <is>
          <t>抓分方总分=85</t>
        </is>
      </c>
    </row>
    <row r="1421">
      <c r="A1421" t="inlineStr">
        <is>
          <t>结算: 抓分=85 扣底=是 庄方+0 抓方+8</t>
        </is>
      </c>
    </row>
    <row r="1422">
      <c r="A1422" t="inlineStr">
        <is>
          <t>级牌: 庄方 7→7 | 抓方 7→15</t>
        </is>
      </c>
    </row>
    <row r="1423">
      <c r="A1423" t="inlineStr">
        <is>
          <t>⚠️ 抓分方 15 &gt; 7，强制停在7，获得庄权，需再守庄一局</t>
        </is>
      </c>
    </row>
    <row r="1424">
      <c r="A1424" t="inlineStr">
        <is>
          <t>庄家变更: → 玩4</t>
        </is>
      </c>
    </row>
    <row r="1425">
      <c r="A1425" t="inlineStr">
        <is>
          <t>级牌重置: 庄家方=7 抓分方=7</t>
        </is>
      </c>
    </row>
    <row r="1426">
      <c r="A1426" t="inlineStr">
        <is>
          <t>守庄失败，对方上台继续</t>
        </is>
      </c>
    </row>
    <row r="1427">
      <c r="A1427" t="inlineStr">
        <is>
          <t>第27局结束 | 庄家方=7 抓分方=7</t>
        </is>
      </c>
    </row>
    <row r="1428">
      <c r="A1428" s="8" t="inlineStr">
        <is>
          <t>📊 结算</t>
        </is>
      </c>
    </row>
    <row r="1429">
      <c r="A1429" s="9" t="inlineStr">
        <is>
          <t>抓分方得分</t>
        </is>
      </c>
      <c r="C1429" t="inlineStr">
        <is>
          <t>85</t>
        </is>
      </c>
    </row>
    <row r="1430">
      <c r="A1430" s="9" t="inlineStr">
        <is>
          <t>是否扣底</t>
        </is>
      </c>
      <c r="C1430" t="inlineStr">
        <is>
          <t>是</t>
        </is>
      </c>
    </row>
    <row r="1431">
      <c r="A1431" s="9" t="inlineStr">
        <is>
          <t>扣底牌</t>
        </is>
      </c>
      <c r="C1431" t="inlineStr">
        <is>
          <t>♠5</t>
        </is>
      </c>
    </row>
    <row r="1432">
      <c r="A1432" s="9" t="inlineStr">
        <is>
          <t>基础升级 抓方</t>
        </is>
      </c>
      <c r="C1432" t="inlineStr">
        <is>
          <t>+5</t>
        </is>
      </c>
    </row>
    <row r="1433">
      <c r="A1433" s="9" t="inlineStr">
        <is>
          <t>扣底加成</t>
        </is>
      </c>
      <c r="C1433" t="inlineStr">
        <is>
          <t>+3</t>
        </is>
      </c>
    </row>
    <row r="1434">
      <c r="A1434" s="9" t="inlineStr">
        <is>
          <t>总升级 抓方</t>
        </is>
      </c>
      <c r="C1434" t="inlineStr">
        <is>
          <t>+8</t>
        </is>
      </c>
    </row>
    <row r="1435">
      <c r="A1435" s="9" t="inlineStr">
        <is>
          <t>总升级 庄方</t>
        </is>
      </c>
      <c r="C1435" t="inlineStr">
        <is>
          <t>+0</t>
        </is>
      </c>
    </row>
    <row r="1436">
      <c r="A1436" s="9" t="inlineStr">
        <is>
          <t>结果</t>
        </is>
      </c>
      <c r="C1436" t="inlineStr">
        <is>
          <t>上台过7（需守庄）</t>
        </is>
      </c>
    </row>
    <row r="1439">
      <c r="A1439" s="6" t="inlineStr">
        <is>
          <t>═══ 第28局 ─ 上台过7（需守庄） ═══</t>
        </is>
      </c>
    </row>
    <row r="1440">
      <c r="A1440" s="7" t="inlineStr">
        <is>
          <t>庄家</t>
        </is>
      </c>
      <c r="C1440" t="inlineStr">
        <is>
          <t>玩家4</t>
        </is>
      </c>
    </row>
    <row r="1441">
      <c r="A1441" s="7" t="inlineStr">
        <is>
          <t>庄家方级牌</t>
        </is>
      </c>
      <c r="C1441" t="inlineStr">
        <is>
          <t>7</t>
        </is>
      </c>
    </row>
    <row r="1442">
      <c r="A1442" s="7" t="inlineStr">
        <is>
          <t>抓分方级牌</t>
        </is>
      </c>
      <c r="C1442" t="inlineStr">
        <is>
          <t>7</t>
        </is>
      </c>
    </row>
    <row r="1443">
      <c r="A1443" s="7" t="inlineStr">
        <is>
          <t>本局级牌</t>
        </is>
      </c>
      <c r="C1443" t="inlineStr">
        <is>
          <t>7</t>
        </is>
      </c>
    </row>
    <row r="1444">
      <c r="A1444" s="7" t="inlineStr">
        <is>
          <t>庄家阵营</t>
        </is>
      </c>
      <c r="C1444" t="inlineStr">
        <is>
          <t>玩家4、玩家2</t>
        </is>
      </c>
    </row>
    <row r="1445">
      <c r="A1445" s="7" t="inlineStr">
        <is>
          <t>抓分阵营</t>
        </is>
      </c>
      <c r="C1445" t="inlineStr">
        <is>
          <t>玩家1、玩家3</t>
        </is>
      </c>
    </row>
    <row r="1446">
      <c r="A1446" s="7" t="inlineStr">
        <is>
          <t>定主方式</t>
        </is>
      </c>
      <c r="C1446" t="inlineStr">
        <is>
          <t>bottom_card</t>
        </is>
      </c>
    </row>
    <row r="1447">
      <c r="A1447" s="7" t="inlineStr">
        <is>
          <t>主花色</t>
        </is>
      </c>
      <c r="C1447" t="inlineStr">
        <is>
          <t>方块</t>
        </is>
      </c>
    </row>
    <row r="1448">
      <c r="A1448" s="8" t="inlineStr">
        <is>
          <t>📋 初始手牌</t>
        </is>
      </c>
    </row>
    <row r="1449">
      <c r="A1449" t="inlineStr">
        <is>
          <t>玩家1</t>
        </is>
      </c>
      <c r="B1449" t="inlineStr">
        <is>
          <t>♠4 ♠9 大王 ♣7 ♣5 ♥4 ♠J ♣A ♦A ♦5 ♣10 ♥5</t>
        </is>
      </c>
    </row>
    <row r="1450">
      <c r="A1450" t="inlineStr">
        <is>
          <t>玩家2</t>
        </is>
      </c>
      <c r="B1450" t="inlineStr">
        <is>
          <t>♣8 ♦J ♥3 小王 ♠A ♦8 ♣4 ♣J ♠Q ♥6 ♥A ♥Q</t>
        </is>
      </c>
    </row>
    <row r="1451">
      <c r="A1451" t="inlineStr">
        <is>
          <t>玩家3</t>
        </is>
      </c>
      <c r="B1451" t="inlineStr">
        <is>
          <t>♣2 ♦3 ♠6 ♠8 ♥K ♥10 ♣9 ♦4 ♠10 ♣3 ♥7 ♠7</t>
        </is>
      </c>
    </row>
    <row r="1452">
      <c r="A1452" t="inlineStr">
        <is>
          <t>玩家4</t>
        </is>
      </c>
      <c r="B1452" t="inlineStr">
        <is>
          <t>♦7 ♣Q ♦9 ♠5 ♥9 ♦2 ♣K ♥2 ♦Q ♥8 ♠2 ♥J</t>
        </is>
      </c>
    </row>
    <row r="1453">
      <c r="A1453" s="8" t="inlineStr">
        <is>
          <t>📦 底牌信息</t>
        </is>
      </c>
    </row>
    <row r="1454">
      <c r="A1454" t="inlineStr">
        <is>
          <t>初始底牌</t>
        </is>
      </c>
      <c r="B1454" t="inlineStr">
        <is>
          <t>♦10 ♠K ♦6 ♦K ♠3 ♣6</t>
        </is>
      </c>
    </row>
    <row r="1455">
      <c r="A1455" t="inlineStr">
        <is>
          <t>庄家埋入</t>
        </is>
      </c>
      <c r="B1455" t="inlineStr">
        <is>
          <t>♦7 ♥8</t>
        </is>
      </c>
      <c r="D1455" t="inlineStr">
        <is>
          <t>♦6 ♦K ♠3 ♣6 ♦7 ♥8</t>
        </is>
      </c>
      <c r="E1455" t="inlineStr">
        <is>
          <t>分值=10</t>
        </is>
      </c>
    </row>
    <row r="1456">
      <c r="A1456" s="8" t="inlineStr">
        <is>
          <t>📝 操作日志</t>
        </is>
      </c>
    </row>
    <row r="1457">
      <c r="A1457">
        <f>== 第28局 ===</f>
        <v/>
      </c>
    </row>
    <row r="1458">
      <c r="A1458" t="inlineStr">
        <is>
          <t>庄家方级牌=7, 抓分方级牌=7, 庄家=玩家4</t>
        </is>
      </c>
    </row>
    <row r="1459">
      <c r="A1459" t="inlineStr">
        <is>
          <t>庄家阵营: 玩4、玩2 | 抓分阵营: 玩1、玩3</t>
        </is>
      </c>
    </row>
    <row r="1460">
      <c r="A1460" t="inlineStr">
        <is>
          <t>发牌完成 | 底牌: ♦10 ♠K ♦6 ♦K ♠3 ♣6</t>
        </is>
      </c>
    </row>
    <row r="1461">
      <c r="A1461" t="inlineStr">
        <is>
          <t>【底牌首张定主】♦10 → 主=方块</t>
        </is>
      </c>
    </row>
    <row r="1462">
      <c r="A1462" t="inlineStr">
        <is>
          <t>【埋底】庄家（玩4）埋 ♦7 ♥8, 取回 ♦10 ♠K</t>
        </is>
      </c>
    </row>
    <row r="1463">
      <c r="A1463" t="inlineStr">
        <is>
          <t xml:space="preserve">  埋底后底牌: ♦6 ♦K ♠3 ♣6 ♦7 ♥8 (分值=10)</t>
        </is>
      </c>
    </row>
    <row r="1464">
      <c r="A1464" t="inlineStr">
        <is>
          <t>第1圈 [对子]: 玩4首出 → [玩4:♣Q ♦Q | 玩1:♣5 ♣7 | 玩2:♣4 ♣8 | 玩3:♣2 ♣3] → 赢: 玩3(♣2) 分=5</t>
        </is>
      </c>
    </row>
    <row r="1465">
      <c r="A1465" t="inlineStr">
        <is>
          <t>第2圈 [对子]: 玩3首出 → [玩3:♥7 ♠7 | 玩4:♥2 ♥9 | 玩1:♥4 ♥5 | 玩2:♥3 ♥6] → 赢: 玩2(♥3) 分=5</t>
        </is>
      </c>
    </row>
    <row r="1466">
      <c r="A1466" t="inlineStr">
        <is>
          <t>第3圈 [对子]: 玩2首出 → [玩2:♠Q ♥Q | 玩3:♠6 ♠8 | 玩4:♠2 ♠5 | 玩1:♠4 ♠9] → 赢: 玩4(♠2) 分=5</t>
        </is>
      </c>
    </row>
    <row r="1467">
      <c r="A1467" t="inlineStr">
        <is>
          <t>第4圈 [单张]: 玩4首出 → [玩4:♦9 | 玩1:♦A | 玩2:♦8 | 玩3:♦3] → 赢: 玩1(♦A) 分=0</t>
        </is>
      </c>
    </row>
    <row r="1468">
      <c r="A1468" t="inlineStr">
        <is>
          <t>第5圈 [单张]: 玩1首出 → [玩1:♠J | 玩2:♠A | 玩3:♠10 | 玩4:♠K] → 赢: 玩2(♠A) 分=20</t>
        </is>
      </c>
    </row>
    <row r="1469">
      <c r="A1469" t="inlineStr">
        <is>
          <t>第6圈 [对子]: 玩2首出 → [玩2:♦J ♣J | 玩3:♦4 ♣9 | 玩4:♦2 ♦10 | 玩1:大王] → 赢: 玩1(大王) 分=10</t>
        </is>
      </c>
    </row>
    <row r="1470">
      <c r="A1470" t="inlineStr">
        <is>
          <t>第7圈 [单张]: 玩1首出 → [玩1:♣A | 玩2:♥A | 玩3:♥10 | 玩4:♣K] → 赢: 玩1(♣A) 分=20</t>
        </is>
      </c>
    </row>
    <row r="1471">
      <c r="A1471" t="inlineStr">
        <is>
          <t>第8圈 [单张]: 玩1首出 → [玩1:♦5 | 玩2:小王 | 玩3:♥K | 玩4:♥J] → 赢: 玩2(小王) 分=15</t>
        </is>
      </c>
    </row>
    <row r="1472">
      <c r="A1472" t="inlineStr">
        <is>
          <t>第9圈 [单张]: 玩2首出 → [玩2:无 | 玩3:无 | 玩4:无 | 玩1:♣10] → 赢: 玩1(♣10) 分=10</t>
        </is>
      </c>
    </row>
    <row r="1473">
      <c r="A1473" t="inlineStr">
        <is>
          <t>抓分方总分=90</t>
        </is>
      </c>
    </row>
    <row r="1474">
      <c r="A1474" t="inlineStr">
        <is>
          <t>结算: 抓分=90 扣底=是 庄方+0 抓方+9</t>
        </is>
      </c>
    </row>
    <row r="1475">
      <c r="A1475" t="inlineStr">
        <is>
          <t>级牌: 庄方 7→7 | 抓方 7→16</t>
        </is>
      </c>
    </row>
    <row r="1476">
      <c r="A1476" t="inlineStr">
        <is>
          <t>⚠️ 抓分方 16 &gt; 7，强制停在7，获得庄权，需再守庄一局</t>
        </is>
      </c>
    </row>
    <row r="1477">
      <c r="A1477" t="inlineStr">
        <is>
          <t>庄家变更: → 玩1</t>
        </is>
      </c>
    </row>
    <row r="1478">
      <c r="A1478" t="inlineStr">
        <is>
          <t>级牌重置: 庄家方=7 抓分方=7</t>
        </is>
      </c>
    </row>
    <row r="1479">
      <c r="A1479" t="inlineStr">
        <is>
          <t>守庄失败，对方上台继续</t>
        </is>
      </c>
    </row>
    <row r="1480">
      <c r="A1480" t="inlineStr">
        <is>
          <t>第28局结束 | 庄家方=7 抓分方=7</t>
        </is>
      </c>
    </row>
    <row r="1481">
      <c r="A1481" s="8" t="inlineStr">
        <is>
          <t>📊 结算</t>
        </is>
      </c>
    </row>
    <row r="1482">
      <c r="A1482" s="9" t="inlineStr">
        <is>
          <t>抓分方得分</t>
        </is>
      </c>
      <c r="C1482" t="inlineStr">
        <is>
          <t>90</t>
        </is>
      </c>
    </row>
    <row r="1483">
      <c r="A1483" s="9" t="inlineStr">
        <is>
          <t>是否扣底</t>
        </is>
      </c>
      <c r="C1483" t="inlineStr">
        <is>
          <t>是</t>
        </is>
      </c>
    </row>
    <row r="1484">
      <c r="A1484" s="9" t="inlineStr">
        <is>
          <t>扣底牌</t>
        </is>
      </c>
      <c r="C1484" t="inlineStr">
        <is>
          <t>♣10</t>
        </is>
      </c>
    </row>
    <row r="1485">
      <c r="A1485" s="9" t="inlineStr">
        <is>
          <t>基础升级 抓方</t>
        </is>
      </c>
      <c r="C1485" t="inlineStr">
        <is>
          <t>+6</t>
        </is>
      </c>
    </row>
    <row r="1486">
      <c r="A1486" s="9" t="inlineStr">
        <is>
          <t>扣底加成</t>
        </is>
      </c>
      <c r="C1486" t="inlineStr">
        <is>
          <t>+3</t>
        </is>
      </c>
    </row>
    <row r="1487">
      <c r="A1487" s="9" t="inlineStr">
        <is>
          <t>总升级 抓方</t>
        </is>
      </c>
      <c r="C1487" t="inlineStr">
        <is>
          <t>+9</t>
        </is>
      </c>
    </row>
    <row r="1488">
      <c r="A1488" s="9" t="inlineStr">
        <is>
          <t>总升级 庄方</t>
        </is>
      </c>
      <c r="C1488" t="inlineStr">
        <is>
          <t>+0</t>
        </is>
      </c>
    </row>
    <row r="1489">
      <c r="A1489" s="9" t="inlineStr">
        <is>
          <t>结果</t>
        </is>
      </c>
      <c r="C1489" t="inlineStr">
        <is>
          <t>上台过7（需守庄）</t>
        </is>
      </c>
    </row>
    <row r="1492">
      <c r="A1492" s="6" t="inlineStr">
        <is>
          <t>═══ 第29局 ─ 上台过7（需守庄） ═══</t>
        </is>
      </c>
    </row>
    <row r="1493">
      <c r="A1493" s="7" t="inlineStr">
        <is>
          <t>庄家</t>
        </is>
      </c>
      <c r="C1493" t="inlineStr">
        <is>
          <t>玩家1</t>
        </is>
      </c>
    </row>
    <row r="1494">
      <c r="A1494" s="7" t="inlineStr">
        <is>
          <t>庄家方级牌</t>
        </is>
      </c>
      <c r="C1494" t="inlineStr">
        <is>
          <t>7</t>
        </is>
      </c>
    </row>
    <row r="1495">
      <c r="A1495" s="7" t="inlineStr">
        <is>
          <t>抓分方级牌</t>
        </is>
      </c>
      <c r="C1495" t="inlineStr">
        <is>
          <t>7</t>
        </is>
      </c>
    </row>
    <row r="1496">
      <c r="A1496" s="7" t="inlineStr">
        <is>
          <t>本局级牌</t>
        </is>
      </c>
      <c r="C1496" t="inlineStr">
        <is>
          <t>7</t>
        </is>
      </c>
    </row>
    <row r="1497">
      <c r="A1497" s="7" t="inlineStr">
        <is>
          <t>庄家阵营</t>
        </is>
      </c>
      <c r="C1497" t="inlineStr">
        <is>
          <t>玩家1、玩家3</t>
        </is>
      </c>
    </row>
    <row r="1498">
      <c r="A1498" s="7" t="inlineStr">
        <is>
          <t>抓分阵营</t>
        </is>
      </c>
      <c r="C1498" t="inlineStr">
        <is>
          <t>玩家2、玩家4</t>
        </is>
      </c>
    </row>
    <row r="1499">
      <c r="A1499" s="7" t="inlineStr">
        <is>
          <t>定主方式</t>
        </is>
      </c>
      <c r="C1499" t="inlineStr">
        <is>
          <t>bottom_card</t>
        </is>
      </c>
    </row>
    <row r="1500">
      <c r="A1500" s="7" t="inlineStr">
        <is>
          <t>主花色</t>
        </is>
      </c>
      <c r="C1500" t="inlineStr">
        <is>
          <t>红桃</t>
        </is>
      </c>
    </row>
    <row r="1501">
      <c r="A1501" s="8" t="inlineStr">
        <is>
          <t>📋 初始手牌</t>
        </is>
      </c>
    </row>
    <row r="1502">
      <c r="A1502" t="inlineStr">
        <is>
          <t>玩家1</t>
        </is>
      </c>
      <c r="B1502" t="inlineStr">
        <is>
          <t>♦Q ♠5 ♥K ♦2 ♦10 大王 ♦4 ♠10 ♣7 ♥8 ♣3 ♥9</t>
        </is>
      </c>
    </row>
    <row r="1503">
      <c r="A1503" t="inlineStr">
        <is>
          <t>玩家2</t>
        </is>
      </c>
      <c r="B1503" t="inlineStr">
        <is>
          <t>♦7 ♥6 ♥7 ♠4 ♣9 ♥4 ♥5 ♦5 ♠6 ♣8 ♠Q ♦9</t>
        </is>
      </c>
    </row>
    <row r="1504">
      <c r="A1504" t="inlineStr">
        <is>
          <t>玩家3</t>
        </is>
      </c>
      <c r="B1504" t="inlineStr">
        <is>
          <t>♣J ♥10 ♦K ♣K ♠K ♦J ♠J ♥3 ♣5 ♣6 ♠3 ♦3</t>
        </is>
      </c>
    </row>
    <row r="1505">
      <c r="A1505" t="inlineStr">
        <is>
          <t>玩家4</t>
        </is>
      </c>
      <c r="B1505" t="inlineStr">
        <is>
          <t>♠8 ♥Q ♣4 ♠A ♠9 ♠7 ♦A ♣10 ♦8 ♥A ♠2 ♣Q</t>
        </is>
      </c>
    </row>
    <row r="1506">
      <c r="A1506" s="8" t="inlineStr">
        <is>
          <t>📦 底牌信息</t>
        </is>
      </c>
    </row>
    <row r="1507">
      <c r="A1507" t="inlineStr">
        <is>
          <t>初始底牌</t>
        </is>
      </c>
      <c r="B1507" t="inlineStr">
        <is>
          <t>♥J ♦6 小王 ♣2 ♥2 ♣A</t>
        </is>
      </c>
    </row>
    <row r="1508">
      <c r="A1508" t="inlineStr">
        <is>
          <t>庄家埋入</t>
        </is>
      </c>
      <c r="B1508" t="inlineStr">
        <is>
          <t>♣3 ♦4 ♣7 ♥8 ♥9</t>
        </is>
      </c>
      <c r="D1508" t="inlineStr">
        <is>
          <t>♣A ♣3 ♦4 ♣7 ♥8 ♥9</t>
        </is>
      </c>
      <c r="E1508" t="inlineStr">
        <is>
          <t>分值=0</t>
        </is>
      </c>
    </row>
    <row r="1509">
      <c r="A1509" s="8" t="inlineStr">
        <is>
          <t>📝 操作日志</t>
        </is>
      </c>
    </row>
    <row r="1510">
      <c r="A1510">
        <f>== 第29局 ===</f>
        <v/>
      </c>
    </row>
    <row r="1511">
      <c r="A1511" t="inlineStr">
        <is>
          <t>庄家方级牌=7, 抓分方级牌=7, 庄家=玩家1</t>
        </is>
      </c>
    </row>
    <row r="1512">
      <c r="A1512" t="inlineStr">
        <is>
          <t>庄家阵营: 玩1、玩3 | 抓分阵营: 玩2、玩4</t>
        </is>
      </c>
    </row>
    <row r="1513">
      <c r="A1513" t="inlineStr">
        <is>
          <t>发牌完成 | 底牌: ♥J ♦6 小王 ♣2 ♥2 ♣A</t>
        </is>
      </c>
    </row>
    <row r="1514">
      <c r="A1514" t="inlineStr">
        <is>
          <t>【底牌首张定主】♥J → 主=红桃</t>
        </is>
      </c>
    </row>
    <row r="1515">
      <c r="A1515" t="inlineStr">
        <is>
          <t>【埋底】庄家（玩1）埋 ♣3 ♦4 ♣7 ♥8 ♥9, 取回 ♥J ♦6 小王 ♣2 ♥2</t>
        </is>
      </c>
    </row>
    <row r="1516">
      <c r="A1516" t="inlineStr">
        <is>
          <t xml:space="preserve">  埋底后底牌: ♣A ♣3 ♦4 ♣7 ♥8 ♥9 (分值=0)</t>
        </is>
      </c>
    </row>
    <row r="1517">
      <c r="A1517" t="inlineStr">
        <is>
          <t>第1圈 [对子]: 玩1首出 → [玩1:♦2 ♣2 | 玩2:♦5 ♦7 | 玩3:♦3 ♦J | 玩4:♦8 ♦A] → 赢: 玩1(♣2) 分=5</t>
        </is>
      </c>
    </row>
    <row r="1518">
      <c r="A1518" t="inlineStr">
        <is>
          <t>第2圈 [单张]: 玩1首出 → [玩1:♦6 | 玩2:♦9 | 玩3:♦K | 玩4:♠2] → 赢: 玩4(♠2) 分=10</t>
        </is>
      </c>
    </row>
    <row r="1519">
      <c r="A1519" t="inlineStr">
        <is>
          <t>第3圈 [对子]: 玩4首出 → [玩4:♠A ♥A | 玩1:♠5 ♠10 | 玩2:♠4 ♠6 | 玩3:♠3 ♠J] → 赢: 玩4(♠A) 分=15</t>
        </is>
      </c>
    </row>
    <row r="1520">
      <c r="A1520" t="inlineStr">
        <is>
          <t>第4圈 [对子]: 玩4首出 → [玩4:♥Q ♣Q | 玩1:♥2 ♥J | 玩2:♥4 ♥5 | 玩3:♥3 ♥10] → 赢: 玩3(♥3) 分=15</t>
        </is>
      </c>
    </row>
    <row r="1521">
      <c r="A1521" t="inlineStr">
        <is>
          <t>第5圈 [单张]: 玩3首出 → [玩3:♣6 | 玩4:♣4 | 玩1:♦10 | 玩2:♣8] → 赢: 玩2(♣8) 分=10</t>
        </is>
      </c>
    </row>
    <row r="1522">
      <c r="A1522" t="inlineStr">
        <is>
          <t>第6圈 [单张]: 玩2首出 → [玩2:♥6 | 玩3:♣5 | 玩4:♠7 | 玩1:♥K] → 赢: 玩1(♥K) 分=15</t>
        </is>
      </c>
    </row>
    <row r="1523">
      <c r="A1523" t="inlineStr">
        <is>
          <t>第7圈 [单张]: 玩1首出 → [玩1:♦Q | 玩2:♥7 | 玩3:♣J | 玩4:♠8] → 赢: 玩1(♦Q) 分=0</t>
        </is>
      </c>
    </row>
    <row r="1524">
      <c r="A1524" t="inlineStr">
        <is>
          <t>第8圈 [单张]: 玩1首出 → [玩1:大王 | 玩2:♣9 | 玩3:♣K | 玩4:♠9] → 赢: 玩1(大王) 分=10</t>
        </is>
      </c>
    </row>
    <row r="1525">
      <c r="A1525" t="inlineStr">
        <is>
          <t>第9圈 [单张]: 玩1首出 → [玩1:小王 | 玩2:♠Q | 玩3:♠K | 玩4:♣10] → 赢: 玩1(小王) 分=20</t>
        </is>
      </c>
    </row>
    <row r="1526">
      <c r="A1526" t="inlineStr">
        <is>
          <t>抓分方总分=100</t>
        </is>
      </c>
    </row>
    <row r="1527">
      <c r="A1527" t="inlineStr">
        <is>
          <t>结算: 抓分=100 扣底=否 庄方+0 抓方+6</t>
        </is>
      </c>
    </row>
    <row r="1528">
      <c r="A1528" t="inlineStr">
        <is>
          <t>级牌: 庄方 7→7 | 抓方 7→13</t>
        </is>
      </c>
    </row>
    <row r="1529">
      <c r="A1529" t="inlineStr">
        <is>
          <t>⚠️ 抓分方 13 &gt; 7，强制停在7，获得庄权，需再守庄一局</t>
        </is>
      </c>
    </row>
    <row r="1530">
      <c r="A1530" t="inlineStr">
        <is>
          <t>庄家变更: → 玩2</t>
        </is>
      </c>
    </row>
    <row r="1531">
      <c r="A1531" t="inlineStr">
        <is>
          <t>级牌重置: 庄家方=7 抓分方=7</t>
        </is>
      </c>
    </row>
    <row r="1532">
      <c r="A1532" t="inlineStr">
        <is>
          <t>守庄失败，对方上台继续</t>
        </is>
      </c>
    </row>
    <row r="1533">
      <c r="A1533" t="inlineStr">
        <is>
          <t>第29局结束 | 庄家方=7 抓分方=7</t>
        </is>
      </c>
    </row>
    <row r="1534">
      <c r="A1534" s="8" t="inlineStr">
        <is>
          <t>📊 结算</t>
        </is>
      </c>
    </row>
    <row r="1535">
      <c r="A1535" s="9" t="inlineStr">
        <is>
          <t>抓分方得分</t>
        </is>
      </c>
      <c r="C1535" t="inlineStr">
        <is>
          <t>100</t>
        </is>
      </c>
    </row>
    <row r="1536">
      <c r="A1536" s="9" t="inlineStr">
        <is>
          <t>是否扣底</t>
        </is>
      </c>
      <c r="C1536" t="inlineStr">
        <is>
          <t>否</t>
        </is>
      </c>
    </row>
    <row r="1537">
      <c r="A1537" s="9" t="inlineStr">
        <is>
          <t>扣底牌</t>
        </is>
      </c>
      <c r="C1537" t="inlineStr">
        <is>
          <t>小王</t>
        </is>
      </c>
    </row>
    <row r="1538">
      <c r="A1538" s="9" t="inlineStr">
        <is>
          <t>基础升级 抓方</t>
        </is>
      </c>
      <c r="C1538" t="inlineStr">
        <is>
          <t>+6</t>
        </is>
      </c>
    </row>
    <row r="1539">
      <c r="A1539" s="9" t="inlineStr">
        <is>
          <t>扣底加成</t>
        </is>
      </c>
      <c r="C1539" t="inlineStr">
        <is>
          <t>无</t>
        </is>
      </c>
    </row>
    <row r="1540">
      <c r="A1540" s="9" t="inlineStr">
        <is>
          <t>总升级 抓方</t>
        </is>
      </c>
      <c r="C1540" t="inlineStr">
        <is>
          <t>+6</t>
        </is>
      </c>
    </row>
    <row r="1541">
      <c r="A1541" s="9" t="inlineStr">
        <is>
          <t>总升级 庄方</t>
        </is>
      </c>
      <c r="C1541" t="inlineStr">
        <is>
          <t>+0</t>
        </is>
      </c>
    </row>
    <row r="1542">
      <c r="A1542" s="9" t="inlineStr">
        <is>
          <t>结果</t>
        </is>
      </c>
      <c r="C1542" t="inlineStr">
        <is>
          <t>上台过7（需守庄）</t>
        </is>
      </c>
    </row>
    <row r="1545">
      <c r="A1545" s="6" t="inlineStr">
        <is>
          <t>═══ 第30局 ─ 上台过7（需守庄） ═══</t>
        </is>
      </c>
    </row>
    <row r="1546">
      <c r="A1546" s="7" t="inlineStr">
        <is>
          <t>庄家</t>
        </is>
      </c>
      <c r="C1546" t="inlineStr">
        <is>
          <t>玩家2</t>
        </is>
      </c>
    </row>
    <row r="1547">
      <c r="A1547" s="7" t="inlineStr">
        <is>
          <t>庄家方级牌</t>
        </is>
      </c>
      <c r="C1547" t="inlineStr">
        <is>
          <t>7</t>
        </is>
      </c>
    </row>
    <row r="1548">
      <c r="A1548" s="7" t="inlineStr">
        <is>
          <t>抓分方级牌</t>
        </is>
      </c>
      <c r="C1548" t="inlineStr">
        <is>
          <t>7</t>
        </is>
      </c>
    </row>
    <row r="1549">
      <c r="A1549" s="7" t="inlineStr">
        <is>
          <t>本局级牌</t>
        </is>
      </c>
      <c r="C1549" t="inlineStr">
        <is>
          <t>7</t>
        </is>
      </c>
    </row>
    <row r="1550">
      <c r="A1550" s="7" t="inlineStr">
        <is>
          <t>庄家阵营</t>
        </is>
      </c>
      <c r="C1550" t="inlineStr">
        <is>
          <t>玩家2、玩家4</t>
        </is>
      </c>
    </row>
    <row r="1551">
      <c r="A1551" s="7" t="inlineStr">
        <is>
          <t>抓分阵营</t>
        </is>
      </c>
      <c r="C1551" t="inlineStr">
        <is>
          <t>玩家3、玩家1</t>
        </is>
      </c>
    </row>
    <row r="1552">
      <c r="A1552" s="7" t="inlineStr">
        <is>
          <t>定主方式</t>
        </is>
      </c>
      <c r="C1552" t="inlineStr">
        <is>
          <t>bottom_card</t>
        </is>
      </c>
    </row>
    <row r="1553">
      <c r="A1553" s="7" t="inlineStr">
        <is>
          <t>主花色</t>
        </is>
      </c>
      <c r="C1553" t="inlineStr">
        <is>
          <t>红桃</t>
        </is>
      </c>
    </row>
    <row r="1554">
      <c r="A1554" s="8" t="inlineStr">
        <is>
          <t>📋 初始手牌</t>
        </is>
      </c>
    </row>
    <row r="1555">
      <c r="A1555" t="inlineStr">
        <is>
          <t>玩家1</t>
        </is>
      </c>
      <c r="B1555" t="inlineStr">
        <is>
          <t>♣6 ♦8 ♣3 ♣Q ♦10 ♠K ♣A ♠6 ♠4 ♦Q ♥6 ♦7</t>
        </is>
      </c>
    </row>
    <row r="1556">
      <c r="A1556" t="inlineStr">
        <is>
          <t>玩家2</t>
        </is>
      </c>
      <c r="B1556" t="inlineStr">
        <is>
          <t>♣10 ♣J ♣K ♥7 ♥Q ♥9 ♥A ♠10 ♦K ♣2 ♠2 ♠9</t>
        </is>
      </c>
    </row>
    <row r="1557">
      <c r="A1557" t="inlineStr">
        <is>
          <t>玩家3</t>
        </is>
      </c>
      <c r="B1557" t="inlineStr">
        <is>
          <t>♥10 ♣8 ♠7 ♥K ♠A ♥4 ♣4 ♦5 ♦3 ♠Q ♦2 大王</t>
        </is>
      </c>
    </row>
    <row r="1558">
      <c r="A1558" t="inlineStr">
        <is>
          <t>玩家4</t>
        </is>
      </c>
      <c r="B1558" t="inlineStr">
        <is>
          <t>♦6 ♠J ♦J ♣7 ♠3 ♥8 ♥3 ♦9 ♠8 ♥2 小王 ♣5</t>
        </is>
      </c>
    </row>
    <row r="1559">
      <c r="A1559" s="8" t="inlineStr">
        <is>
          <t>📦 底牌信息</t>
        </is>
      </c>
    </row>
    <row r="1560">
      <c r="A1560" t="inlineStr">
        <is>
          <t>初始底牌</t>
        </is>
      </c>
      <c r="B1560" t="inlineStr">
        <is>
          <t>♥J ♦4 ♦A ♣9 ♠5 ♥5</t>
        </is>
      </c>
    </row>
    <row r="1561">
      <c r="A1561" t="inlineStr">
        <is>
          <t>庄家埋入</t>
        </is>
      </c>
      <c r="B1561" t="inlineStr">
        <is>
          <t>♥7 ♥9 ♠9 ♣J ♥Q</t>
        </is>
      </c>
      <c r="D1561" t="inlineStr">
        <is>
          <t>♥5 ♥7 ♥9 ♠9 ♣J ♥Q</t>
        </is>
      </c>
      <c r="E1561" t="inlineStr">
        <is>
          <t>分值=5</t>
        </is>
      </c>
    </row>
    <row r="1562">
      <c r="A1562" s="8" t="inlineStr">
        <is>
          <t>📝 操作日志</t>
        </is>
      </c>
    </row>
    <row r="1563">
      <c r="A1563">
        <f>== 第30局 ===</f>
        <v/>
      </c>
    </row>
    <row r="1564">
      <c r="A1564" t="inlineStr">
        <is>
          <t>庄家方级牌=7, 抓分方级牌=7, 庄家=玩家2</t>
        </is>
      </c>
    </row>
    <row r="1565">
      <c r="A1565" t="inlineStr">
        <is>
          <t>庄家阵营: 玩2、玩4 | 抓分阵营: 玩3、玩1</t>
        </is>
      </c>
    </row>
    <row r="1566">
      <c r="A1566" t="inlineStr">
        <is>
          <t>发牌完成 | 底牌: ♥J ♦4 ♦A ♣9 ♠5 ♥5</t>
        </is>
      </c>
    </row>
    <row r="1567">
      <c r="A1567" t="inlineStr">
        <is>
          <t>【底牌首张定主】♥J → 主=红桃</t>
        </is>
      </c>
    </row>
    <row r="1568">
      <c r="A1568" t="inlineStr">
        <is>
          <t>【埋底】庄家（玩2）埋 ♥7 ♥9 ♠9 ♣J ♥Q, 取回 ♥J ♦4 ♦A ♣9 ♠5</t>
        </is>
      </c>
    </row>
    <row r="1569">
      <c r="A1569" t="inlineStr">
        <is>
          <t xml:space="preserve">  埋底后底牌: ♥5 ♥7 ♥9 ♠9 ♣J ♥Q (分值=5)</t>
        </is>
      </c>
    </row>
    <row r="1570">
      <c r="A1570" t="inlineStr">
        <is>
          <t>第1圈 [对子]: 玩2首出 → [玩2:♣2 ♠2 | 玩3:♣4 ♣8 | 玩4:♣5 ♣7 | 玩1:♣3 ♣6] → 赢: 玩2(♠2) 分=5</t>
        </is>
      </c>
    </row>
    <row r="1571">
      <c r="A1571" t="inlineStr">
        <is>
          <t>第2圈 [对子]: 玩2首出 → [玩2:♥A ♦A | 玩3:♥4 ♥10 | 玩4:♥2 ♥3 | 玩1:♠4 ♠6] → 赢: 玩4(♥3) 分=10</t>
        </is>
      </c>
    </row>
    <row r="1572">
      <c r="A1572" t="inlineStr">
        <is>
          <t>第3圈 [对子]: 玩4首出 → [玩4:♠J ♦J | 玩1:♥6 ♦7 | 玩2:♠5 ♠10 | 玩3:♠7 ♠Q] → 赢: 玩3(♠Q) 分=15</t>
        </is>
      </c>
    </row>
    <row r="1573">
      <c r="A1573" t="inlineStr">
        <is>
          <t>第4圈 [单张]: 玩3首出 → [玩3:♦3 | 玩4:♦6 | 玩1:♦8 | 玩2:♦4] → 赢: 玩1(♦8) 分=0</t>
        </is>
      </c>
    </row>
    <row r="1574">
      <c r="A1574" t="inlineStr">
        <is>
          <t>第5圈 [对子]: 玩1首出 → [玩1:♣Q ♦Q | 玩2:♣9 ♣10 | 玩3:♦2 大王 | 玩4:♠3 ♥8] → 赢: 玩3(大王) 分=10</t>
        </is>
      </c>
    </row>
    <row r="1575">
      <c r="A1575" t="inlineStr">
        <is>
          <t>第6圈 [单张]: 玩3首出 → [玩3:♠A | 玩4:♠8 | 玩1:♠K | 玩2:♥J] → 赢: 玩3(♠A) 分=10</t>
        </is>
      </c>
    </row>
    <row r="1576">
      <c r="A1576" t="inlineStr">
        <is>
          <t>第7圈 [单张]: 玩3首出 → [玩3:♦5 | 玩4:♦9 | 玩1:♦10 | 玩2:♦K] → 赢: 玩2(♦K) 分=25</t>
        </is>
      </c>
    </row>
    <row r="1577">
      <c r="A1577" t="inlineStr">
        <is>
          <t>第8圈 [单张]: 玩2首出 → [玩2:♣K | 玩3:♥K | 玩4:小王 | 玩1:♣A] → 赢: 玩4(小王) 分=20</t>
        </is>
      </c>
    </row>
    <row r="1578">
      <c r="A1578" t="inlineStr">
        <is>
          <t>抓分方总分=95</t>
        </is>
      </c>
    </row>
    <row r="1579">
      <c r="A1579" t="inlineStr">
        <is>
          <t>结算: 抓分=95 扣底=否 庄方+0 抓方+6</t>
        </is>
      </c>
    </row>
    <row r="1580">
      <c r="A1580" t="inlineStr">
        <is>
          <t>级牌: 庄方 7→7 | 抓方 7→13</t>
        </is>
      </c>
    </row>
    <row r="1581">
      <c r="A1581" t="inlineStr">
        <is>
          <t>⚠️ 抓分方 13 &gt; 7，强制停在7，获得庄权，需再守庄一局</t>
        </is>
      </c>
    </row>
    <row r="1582">
      <c r="A1582" t="inlineStr">
        <is>
          <t>庄家变更: → 玩3</t>
        </is>
      </c>
    </row>
    <row r="1583">
      <c r="A1583" t="inlineStr">
        <is>
          <t>级牌重置: 庄家方=7 抓分方=7</t>
        </is>
      </c>
    </row>
    <row r="1584">
      <c r="A1584" t="inlineStr">
        <is>
          <t>守庄失败，对方上台继续</t>
        </is>
      </c>
    </row>
    <row r="1585">
      <c r="A1585" t="inlineStr">
        <is>
          <t>第30局结束 | 庄家方=7 抓分方=7</t>
        </is>
      </c>
    </row>
    <row r="1586">
      <c r="A1586" s="8" t="inlineStr">
        <is>
          <t>📊 结算</t>
        </is>
      </c>
    </row>
    <row r="1587">
      <c r="A1587" s="9" t="inlineStr">
        <is>
          <t>抓分方得分</t>
        </is>
      </c>
      <c r="C1587" t="inlineStr">
        <is>
          <t>95</t>
        </is>
      </c>
    </row>
    <row r="1588">
      <c r="A1588" s="9" t="inlineStr">
        <is>
          <t>是否扣底</t>
        </is>
      </c>
      <c r="C1588" t="inlineStr">
        <is>
          <t>否</t>
        </is>
      </c>
    </row>
    <row r="1589">
      <c r="A1589" s="9" t="inlineStr">
        <is>
          <t>扣底牌</t>
        </is>
      </c>
      <c r="C1589" t="inlineStr">
        <is>
          <t>小王</t>
        </is>
      </c>
    </row>
    <row r="1590">
      <c r="A1590" s="9" t="inlineStr">
        <is>
          <t>基础升级 抓方</t>
        </is>
      </c>
      <c r="C1590" t="inlineStr">
        <is>
          <t>+6</t>
        </is>
      </c>
    </row>
    <row r="1591">
      <c r="A1591" s="9" t="inlineStr">
        <is>
          <t>扣底加成</t>
        </is>
      </c>
      <c r="C1591" t="inlineStr">
        <is>
          <t>无</t>
        </is>
      </c>
    </row>
    <row r="1592">
      <c r="A1592" s="9" t="inlineStr">
        <is>
          <t>总升级 抓方</t>
        </is>
      </c>
      <c r="C1592" t="inlineStr">
        <is>
          <t>+6</t>
        </is>
      </c>
    </row>
    <row r="1593">
      <c r="A1593" s="9" t="inlineStr">
        <is>
          <t>总升级 庄方</t>
        </is>
      </c>
      <c r="C1593" t="inlineStr">
        <is>
          <t>+0</t>
        </is>
      </c>
    </row>
    <row r="1594">
      <c r="A1594" s="9" t="inlineStr">
        <is>
          <t>结果</t>
        </is>
      </c>
      <c r="C1594" t="inlineStr">
        <is>
          <t>上台过7（需守庄）</t>
        </is>
      </c>
    </row>
    <row r="1597">
      <c r="A1597" s="6" t="inlineStr">
        <is>
          <t>═══ 第31局 ─ 上台过7（需守庄） ═══</t>
        </is>
      </c>
    </row>
    <row r="1598">
      <c r="A1598" s="7" t="inlineStr">
        <is>
          <t>庄家</t>
        </is>
      </c>
      <c r="C1598" t="inlineStr">
        <is>
          <t>玩家3</t>
        </is>
      </c>
    </row>
    <row r="1599">
      <c r="A1599" s="7" t="inlineStr">
        <is>
          <t>庄家方级牌</t>
        </is>
      </c>
      <c r="C1599" t="inlineStr">
        <is>
          <t>7</t>
        </is>
      </c>
    </row>
    <row r="1600">
      <c r="A1600" s="7" t="inlineStr">
        <is>
          <t>抓分方级牌</t>
        </is>
      </c>
      <c r="C1600" t="inlineStr">
        <is>
          <t>7</t>
        </is>
      </c>
    </row>
    <row r="1601">
      <c r="A1601" s="7" t="inlineStr">
        <is>
          <t>本局级牌</t>
        </is>
      </c>
      <c r="C1601" t="inlineStr">
        <is>
          <t>7</t>
        </is>
      </c>
    </row>
    <row r="1602">
      <c r="A1602" s="7" t="inlineStr">
        <is>
          <t>庄家阵营</t>
        </is>
      </c>
      <c r="C1602" t="inlineStr">
        <is>
          <t>玩家3、玩家1</t>
        </is>
      </c>
    </row>
    <row r="1603">
      <c r="A1603" s="7" t="inlineStr">
        <is>
          <t>抓分阵营</t>
        </is>
      </c>
      <c r="C1603" t="inlineStr">
        <is>
          <t>玩家4、玩家2</t>
        </is>
      </c>
    </row>
    <row r="1604">
      <c r="A1604" s="7" t="inlineStr">
        <is>
          <t>定主方式</t>
        </is>
      </c>
      <c r="C1604" t="inlineStr">
        <is>
          <t>bottom_card</t>
        </is>
      </c>
    </row>
    <row r="1605">
      <c r="A1605" s="7" t="inlineStr">
        <is>
          <t>主花色</t>
        </is>
      </c>
      <c r="C1605" t="inlineStr">
        <is>
          <t>红桃</t>
        </is>
      </c>
    </row>
    <row r="1606">
      <c r="A1606" s="8" t="inlineStr">
        <is>
          <t>📋 初始手牌</t>
        </is>
      </c>
    </row>
    <row r="1607">
      <c r="A1607" t="inlineStr">
        <is>
          <t>玩家1</t>
        </is>
      </c>
      <c r="B1607" t="inlineStr">
        <is>
          <t>♣J ♦8 ♥8 ♦10 ♥5 ♦7 ♣K ♦6 ♦4 ♣9 ♠5 ♠9</t>
        </is>
      </c>
    </row>
    <row r="1608">
      <c r="A1608" t="inlineStr">
        <is>
          <t>玩家2</t>
        </is>
      </c>
      <c r="B1608" t="inlineStr">
        <is>
          <t>♠K ♠4 ♦3 ♠6 ♦Q ♥J ♦J ♠A ♣3 ♠3 ♥A ♣Q</t>
        </is>
      </c>
    </row>
    <row r="1609">
      <c r="A1609" t="inlineStr">
        <is>
          <t>玩家3</t>
        </is>
      </c>
      <c r="B1609" t="inlineStr">
        <is>
          <t>♣6 ♣10 ♣A ♣5 ♦K ♦5 大王 ♠J ♠10 ♥2 ♣2 ♥K</t>
        </is>
      </c>
    </row>
    <row r="1610">
      <c r="A1610" t="inlineStr">
        <is>
          <t>玩家4</t>
        </is>
      </c>
      <c r="B1610" t="inlineStr">
        <is>
          <t>小王 ♣7 ♦9 ♠Q ♥9 ♠2 ♥6 ♦2 ♥Q ♥3 ♥10 ♥4</t>
        </is>
      </c>
    </row>
    <row r="1611">
      <c r="A1611" s="8" t="inlineStr">
        <is>
          <t>📦 底牌信息</t>
        </is>
      </c>
    </row>
    <row r="1612">
      <c r="A1612" t="inlineStr">
        <is>
          <t>初始底牌</t>
        </is>
      </c>
      <c r="B1612" t="inlineStr">
        <is>
          <t>♥7 ♠8 ♠7 ♣8 ♣4 ♦A</t>
        </is>
      </c>
    </row>
    <row r="1613">
      <c r="A1613" t="inlineStr">
        <is>
          <t>庄家埋入</t>
        </is>
      </c>
      <c r="B1613" t="inlineStr">
        <is>
          <t>♣6 ♠J ♣A ♣5 ♦5</t>
        </is>
      </c>
      <c r="D1613" t="inlineStr">
        <is>
          <t>♦A ♣6 ♠J ♣A ♣5 ♦5</t>
        </is>
      </c>
      <c r="E1613" t="inlineStr">
        <is>
          <t>分值=10</t>
        </is>
      </c>
    </row>
    <row r="1614">
      <c r="A1614" s="8" t="inlineStr">
        <is>
          <t>📝 操作日志</t>
        </is>
      </c>
    </row>
    <row r="1615">
      <c r="A1615">
        <f>== 第31局 ===</f>
        <v/>
      </c>
    </row>
    <row r="1616">
      <c r="A1616" t="inlineStr">
        <is>
          <t>庄家方级牌=7, 抓分方级牌=7, 庄家=玩家3</t>
        </is>
      </c>
    </row>
    <row r="1617">
      <c r="A1617" t="inlineStr">
        <is>
          <t>庄家阵营: 玩3、玩1 | 抓分阵营: 玩4、玩2</t>
        </is>
      </c>
    </row>
    <row r="1618">
      <c r="A1618" t="inlineStr">
        <is>
          <t>发牌完成 | 底牌: ♥7 ♠8 ♠7 ♣8 ♣4 ♦A</t>
        </is>
      </c>
    </row>
    <row r="1619">
      <c r="A1619" t="inlineStr">
        <is>
          <t>【底牌首张定主】♥7 → 主=红桃</t>
        </is>
      </c>
    </row>
    <row r="1620">
      <c r="A1620" t="inlineStr">
        <is>
          <t>【埋底】庄家（玩3）埋 ♣6 ♠J ♣A ♣5 ♦5, 取回 ♥7 ♠8 ♠7 ♣8 ♣4</t>
        </is>
      </c>
    </row>
    <row r="1621">
      <c r="A1621" t="inlineStr">
        <is>
          <t xml:space="preserve">  埋底后底牌: ♦A ♣6 ♠J ♣A ♣5 ♦5 (分值=10)</t>
        </is>
      </c>
    </row>
    <row r="1622">
      <c r="A1622" t="inlineStr">
        <is>
          <t>第1圈 [对子]: 玩3首出 → [玩3:♠8 ♣8 | 玩4:♠2 ♠Q | 玩1:♠5 ♠9 | 玩2:♠3 ♠4] → 赢: 玩4(♠2) 分=5</t>
        </is>
      </c>
    </row>
    <row r="1623">
      <c r="A1623" t="inlineStr">
        <is>
          <t>第2圈 [对子]: 玩4首出 → [玩4:♦9 ♥9 | 玩1:♦4 ♦6 | 玩2:♦3 ♦J | 玩3:♣4 ♥7] → 赢: 玩2(♦J) 分=0</t>
        </is>
      </c>
    </row>
    <row r="1624">
      <c r="A1624" t="inlineStr">
        <is>
          <t>第3圈 [对子]: 玩2首出 → [玩2:♦Q ♣Q | 玩3:♠7 ♣10 | 玩4:♦2 ♥3 | 玩1:♦7 ♦8] → 赢: 玩4(♥3) 分=10</t>
        </is>
      </c>
    </row>
    <row r="1625">
      <c r="A1625" t="inlineStr">
        <is>
          <t>第4圈 [单张]: 玩4首出 → [玩4:♥4 | 玩1:♥8 | 玩2:♥J | 玩3:♥2] → 赢: 玩3(♥2) 分=0</t>
        </is>
      </c>
    </row>
    <row r="1626">
      <c r="A1626" t="inlineStr">
        <is>
          <t>第5圈 [单张]: 玩3首出 → [玩3:大王 | 玩4:小王 | 玩1:♥5 | 玩2:♣3] → 赢: 玩3(大王) 分=5</t>
        </is>
      </c>
    </row>
    <row r="1627">
      <c r="A1627" t="inlineStr">
        <is>
          <t>第6圈 [单张]: 玩3首出 → [玩3:♣2 | 玩4:♣7 | 玩1:♣9 | 玩2:♠6] → 赢: 玩3(♣2) 分=0</t>
        </is>
      </c>
    </row>
    <row r="1628">
      <c r="A1628" t="inlineStr">
        <is>
          <t>第7圈 [单张]: 玩3首出 → [玩3:♠10 | 玩4:♥6 | 玩1:♦10 | 玩2:♠K] → 赢: 玩2(♠K) 分=30</t>
        </is>
      </c>
    </row>
    <row r="1629">
      <c r="A1629" t="inlineStr">
        <is>
          <t>第8圈 [对子]: 玩2首出 → [玩2:♠A ♥A | 玩3:♦K ♥K | 玩4:♥10 ♥Q | 玩1:♣J ♣K] → 赢: 玩2(♠A) 分=40</t>
        </is>
      </c>
    </row>
    <row r="1630">
      <c r="A1630" t="inlineStr">
        <is>
          <t>抓分方总分=90</t>
        </is>
      </c>
    </row>
    <row r="1631">
      <c r="A1631" t="inlineStr">
        <is>
          <t>结算: 抓分=90 扣底=是 庄方+0 抓方+9</t>
        </is>
      </c>
    </row>
    <row r="1632">
      <c r="A1632" t="inlineStr">
        <is>
          <t>级牌: 庄方 7→7 | 抓方 7→16</t>
        </is>
      </c>
    </row>
    <row r="1633">
      <c r="A1633" t="inlineStr">
        <is>
          <t>⚠️ 抓分方 16 &gt; 7，强制停在7，获得庄权，需再守庄一局</t>
        </is>
      </c>
    </row>
    <row r="1634">
      <c r="A1634" t="inlineStr">
        <is>
          <t>庄家变更: → 玩4</t>
        </is>
      </c>
    </row>
    <row r="1635">
      <c r="A1635" t="inlineStr">
        <is>
          <t>级牌重置: 庄家方=7 抓分方=7</t>
        </is>
      </c>
    </row>
    <row r="1636">
      <c r="A1636" t="inlineStr">
        <is>
          <t>守庄失败，对方上台继续</t>
        </is>
      </c>
    </row>
    <row r="1637">
      <c r="A1637" t="inlineStr">
        <is>
          <t>第31局结束 | 庄家方=7 抓分方=7</t>
        </is>
      </c>
    </row>
    <row r="1638">
      <c r="A1638" s="8" t="inlineStr">
        <is>
          <t>📊 结算</t>
        </is>
      </c>
    </row>
    <row r="1639">
      <c r="A1639" s="9" t="inlineStr">
        <is>
          <t>抓分方得分</t>
        </is>
      </c>
      <c r="C1639" t="inlineStr">
        <is>
          <t>90</t>
        </is>
      </c>
    </row>
    <row r="1640">
      <c r="A1640" s="9" t="inlineStr">
        <is>
          <t>是否扣底</t>
        </is>
      </c>
      <c r="C1640" t="inlineStr">
        <is>
          <t>是</t>
        </is>
      </c>
    </row>
    <row r="1641">
      <c r="A1641" s="9" t="inlineStr">
        <is>
          <t>扣底牌</t>
        </is>
      </c>
      <c r="C1641" t="inlineStr">
        <is>
          <t>♥A</t>
        </is>
      </c>
    </row>
    <row r="1642">
      <c r="A1642" s="9" t="inlineStr">
        <is>
          <t>基础升级 抓方</t>
        </is>
      </c>
      <c r="C1642" t="inlineStr">
        <is>
          <t>+6</t>
        </is>
      </c>
    </row>
    <row r="1643">
      <c r="A1643" s="9" t="inlineStr">
        <is>
          <t>扣底加成</t>
        </is>
      </c>
      <c r="C1643" t="inlineStr">
        <is>
          <t>+3</t>
        </is>
      </c>
    </row>
    <row r="1644">
      <c r="A1644" s="9" t="inlineStr">
        <is>
          <t>总升级 抓方</t>
        </is>
      </c>
      <c r="C1644" t="inlineStr">
        <is>
          <t>+9</t>
        </is>
      </c>
    </row>
    <row r="1645">
      <c r="A1645" s="9" t="inlineStr">
        <is>
          <t>总升级 庄方</t>
        </is>
      </c>
      <c r="C1645" t="inlineStr">
        <is>
          <t>+0</t>
        </is>
      </c>
    </row>
    <row r="1646">
      <c r="A1646" s="9" t="inlineStr">
        <is>
          <t>结果</t>
        </is>
      </c>
      <c r="C1646" t="inlineStr">
        <is>
          <t>上台过7（需守庄）</t>
        </is>
      </c>
    </row>
    <row r="1649">
      <c r="A1649" s="6" t="inlineStr">
        <is>
          <t>═══ 第32局 ─ 上台过7（需守庄） ═══</t>
        </is>
      </c>
    </row>
    <row r="1650">
      <c r="A1650" s="7" t="inlineStr">
        <is>
          <t>庄家</t>
        </is>
      </c>
      <c r="C1650" t="inlineStr">
        <is>
          <t>玩家4</t>
        </is>
      </c>
    </row>
    <row r="1651">
      <c r="A1651" s="7" t="inlineStr">
        <is>
          <t>庄家方级牌</t>
        </is>
      </c>
      <c r="C1651" t="inlineStr">
        <is>
          <t>7</t>
        </is>
      </c>
    </row>
    <row r="1652">
      <c r="A1652" s="7" t="inlineStr">
        <is>
          <t>抓分方级牌</t>
        </is>
      </c>
      <c r="C1652" t="inlineStr">
        <is>
          <t>7</t>
        </is>
      </c>
    </row>
    <row r="1653">
      <c r="A1653" s="7" t="inlineStr">
        <is>
          <t>本局级牌</t>
        </is>
      </c>
      <c r="C1653" t="inlineStr">
        <is>
          <t>7</t>
        </is>
      </c>
    </row>
    <row r="1654">
      <c r="A1654" s="7" t="inlineStr">
        <is>
          <t>庄家阵营</t>
        </is>
      </c>
      <c r="C1654" t="inlineStr">
        <is>
          <t>玩家4、玩家2</t>
        </is>
      </c>
    </row>
    <row r="1655">
      <c r="A1655" s="7" t="inlineStr">
        <is>
          <t>抓分阵营</t>
        </is>
      </c>
      <c r="C1655" t="inlineStr">
        <is>
          <t>玩家1、玩家3</t>
        </is>
      </c>
    </row>
    <row r="1656">
      <c r="A1656" s="7" t="inlineStr">
        <is>
          <t>定主方式</t>
        </is>
      </c>
      <c r="C1656" t="inlineStr">
        <is>
          <t>bottom_card</t>
        </is>
      </c>
    </row>
    <row r="1657">
      <c r="A1657" s="7" t="inlineStr">
        <is>
          <t>主花色</t>
        </is>
      </c>
      <c r="C1657" t="inlineStr">
        <is>
          <t>方块</t>
        </is>
      </c>
    </row>
    <row r="1658">
      <c r="A1658" s="8" t="inlineStr">
        <is>
          <t>📋 初始手牌</t>
        </is>
      </c>
    </row>
    <row r="1659">
      <c r="A1659" t="inlineStr">
        <is>
          <t>玩家1</t>
        </is>
      </c>
      <c r="B1659" t="inlineStr">
        <is>
          <t>♣8 ♣5 ♦2 ♠6 ♦8 ♦K ♣J ♠J ♦10 大王 ♣6 ♠A</t>
        </is>
      </c>
    </row>
    <row r="1660">
      <c r="A1660" t="inlineStr">
        <is>
          <t>玩家2</t>
        </is>
      </c>
      <c r="B1660" t="inlineStr">
        <is>
          <t>♥6 ♥Q ♦Q ♣K ♦3 ♠2 ♣2 ♣10 ♥10 ♥J ♥K ♦4</t>
        </is>
      </c>
    </row>
    <row r="1661">
      <c r="A1661" t="inlineStr">
        <is>
          <t>玩家3</t>
        </is>
      </c>
      <c r="B1661" t="inlineStr">
        <is>
          <t>♥A ♦J ♠8 ♠7 ♦7 ♦9 小王 ♥2 ♠5 ♠4 ♥5 ♠K</t>
        </is>
      </c>
    </row>
    <row r="1662">
      <c r="A1662" t="inlineStr">
        <is>
          <t>玩家4</t>
        </is>
      </c>
      <c r="B1662" t="inlineStr">
        <is>
          <t>♣9 ♦5 ♠Q ♣4 ♣Q ♠10 ♥9 ♥3 ♠3 ♣3 ♥4 ♠9</t>
        </is>
      </c>
    </row>
    <row r="1663">
      <c r="A1663" s="8" t="inlineStr">
        <is>
          <t>📦 底牌信息</t>
        </is>
      </c>
    </row>
    <row r="1664">
      <c r="A1664" t="inlineStr">
        <is>
          <t>初始底牌</t>
        </is>
      </c>
      <c r="B1664" t="inlineStr">
        <is>
          <t>♦6 ♦A ♥8 ♣7 ♣A ♥7</t>
        </is>
      </c>
    </row>
    <row r="1665">
      <c r="A1665" t="inlineStr">
        <is>
          <t>庄家埋入</t>
        </is>
      </c>
      <c r="B1665" t="inlineStr">
        <is>
          <t>♠3 ♣3</t>
        </is>
      </c>
      <c r="D1665" t="inlineStr">
        <is>
          <t>♥8 ♣7 ♣A ♥7 ♠3 ♣3</t>
        </is>
      </c>
      <c r="E1665" t="inlineStr">
        <is>
          <t>分值=0</t>
        </is>
      </c>
    </row>
    <row r="1666">
      <c r="A1666" s="8" t="inlineStr">
        <is>
          <t>📝 操作日志</t>
        </is>
      </c>
    </row>
    <row r="1667">
      <c r="A1667">
        <f>== 第32局 ===</f>
        <v/>
      </c>
    </row>
    <row r="1668">
      <c r="A1668" t="inlineStr">
        <is>
          <t>庄家方级牌=7, 抓分方级牌=7, 庄家=玩家4</t>
        </is>
      </c>
    </row>
    <row r="1669">
      <c r="A1669" t="inlineStr">
        <is>
          <t>庄家阵营: 玩4、玩2 | 抓分阵营: 玩1、玩3</t>
        </is>
      </c>
    </row>
    <row r="1670">
      <c r="A1670" t="inlineStr">
        <is>
          <t>发牌完成 | 底牌: ♦6 ♦A ♥8 ♣7 ♣A ♥7</t>
        </is>
      </c>
    </row>
    <row r="1671">
      <c r="A1671" t="inlineStr">
        <is>
          <t>【底牌首张定主】♦6 → 主=方块</t>
        </is>
      </c>
    </row>
    <row r="1672">
      <c r="A1672" t="inlineStr">
        <is>
          <t>【埋底】庄家（玩4）埋 ♠3 ♣3, 取回 ♦6 ♦A</t>
        </is>
      </c>
    </row>
    <row r="1673">
      <c r="A1673" t="inlineStr">
        <is>
          <t xml:space="preserve">  埋底后底牌: ♥8 ♣7 ♣A ♥7 ♠3 ♣3 (分值=0)</t>
        </is>
      </c>
    </row>
    <row r="1674">
      <c r="A1674" t="inlineStr">
        <is>
          <t>第1圈 [对子]: 玩4首出 → [玩4:♣4 ♥4 | 玩1:♣5 ♣6 | 玩2:♣2 ♣10 | 玩3:小王] → 赢: 玩3(小王) 分=15</t>
        </is>
      </c>
    </row>
    <row r="1675">
      <c r="A1675" t="inlineStr">
        <is>
          <t>第2圈 [对子]: 玩3首出 → [玩3:♠7 ♦7 | 玩4:♠9 ♠10 | 玩1:♠6 ♠J | 玩2:♠2] → 赢: 玩2(♠2) 分=10</t>
        </is>
      </c>
    </row>
    <row r="1676">
      <c r="A1676" t="inlineStr">
        <is>
          <t>第3圈 [对子]: 玩2首出 → [玩2:♥Q ♦Q | 玩3:♥2 ♥5 | 玩4:♥3 ♥9 | 玩1:大王] → 赢: 玩1(大王) 分=5</t>
        </is>
      </c>
    </row>
    <row r="1677">
      <c r="A1677" t="inlineStr">
        <is>
          <t>第4圈 [对子]: 玩1首出 → [玩1:♣8 ♦8 | 玩2:♦3 ♦4 | 玩3:♠4 ♠5 | 玩4:♣9 ♣Q] → 赢: 玩4(♣Q) 分=5</t>
        </is>
      </c>
    </row>
    <row r="1678">
      <c r="A1678" t="inlineStr">
        <is>
          <t>第5圈 [单张]: 玩4首出 → [玩4:♦6 | 玩1:♦2 | 玩2:♥6 | 玩3:♦9] → 赢: 玩1(♦2) 分=0</t>
        </is>
      </c>
    </row>
    <row r="1679">
      <c r="A1679" t="inlineStr">
        <is>
          <t>第6圈 [单张]: 玩1首出 → [玩1:♣J | 玩2:♣K | 玩3:♠8 | 玩4:♦5] → 赢: 玩2(♣K) 分=15</t>
        </is>
      </c>
    </row>
    <row r="1680">
      <c r="A1680" t="inlineStr">
        <is>
          <t>第7圈 [单张]: 玩2首出 → [玩2:♥J | 玩3:♥A | 玩4:♠Q | 玩1:♦10] → 赢: 玩3(♥A) 分=10</t>
        </is>
      </c>
    </row>
    <row r="1681">
      <c r="A1681" t="inlineStr">
        <is>
          <t>第8圈 [单张]: 玩3首出 → [玩3:♦J | 玩4:♦A | 玩1:♦K | 玩2:♥10] → 赢: 玩4(♦A) 分=20</t>
        </is>
      </c>
    </row>
    <row r="1682">
      <c r="A1682" t="inlineStr">
        <is>
          <t>第9圈 [单张]: 玩4首出 → [玩4:无 | 玩1:♠A | 玩2:♥K | 玩3:♠K] → 赢: 玩3(♠K) 分=20</t>
        </is>
      </c>
    </row>
    <row r="1683">
      <c r="A1683" t="inlineStr">
        <is>
          <t>抓分方总分=100</t>
        </is>
      </c>
    </row>
    <row r="1684">
      <c r="A1684" t="inlineStr">
        <is>
          <t>结算: 抓分=100 扣底=是 庄方+0 抓方+9</t>
        </is>
      </c>
    </row>
    <row r="1685">
      <c r="A1685" t="inlineStr">
        <is>
          <t>级牌: 庄方 7→7 | 抓方 7→16</t>
        </is>
      </c>
    </row>
    <row r="1686">
      <c r="A1686" t="inlineStr">
        <is>
          <t>⚠️ 抓分方 16 &gt; 7，强制停在7，获得庄权，需再守庄一局</t>
        </is>
      </c>
    </row>
    <row r="1687">
      <c r="A1687" t="inlineStr">
        <is>
          <t>庄家变更: → 玩1</t>
        </is>
      </c>
    </row>
    <row r="1688">
      <c r="A1688" t="inlineStr">
        <is>
          <t>级牌重置: 庄家方=7 抓分方=7</t>
        </is>
      </c>
    </row>
    <row r="1689">
      <c r="A1689" t="inlineStr">
        <is>
          <t>守庄失败，对方上台继续</t>
        </is>
      </c>
    </row>
    <row r="1690">
      <c r="A1690" t="inlineStr">
        <is>
          <t>第32局结束 | 庄家方=7 抓分方=7</t>
        </is>
      </c>
    </row>
    <row r="1691">
      <c r="A1691" s="8" t="inlineStr">
        <is>
          <t>📊 结算</t>
        </is>
      </c>
    </row>
    <row r="1692">
      <c r="A1692" s="9" t="inlineStr">
        <is>
          <t>抓分方得分</t>
        </is>
      </c>
      <c r="C1692" t="inlineStr">
        <is>
          <t>100</t>
        </is>
      </c>
    </row>
    <row r="1693">
      <c r="A1693" s="9" t="inlineStr">
        <is>
          <t>是否扣底</t>
        </is>
      </c>
      <c r="C1693" t="inlineStr">
        <is>
          <t>是</t>
        </is>
      </c>
    </row>
    <row r="1694">
      <c r="A1694" s="9" t="inlineStr">
        <is>
          <t>扣底牌</t>
        </is>
      </c>
      <c r="C1694" t="inlineStr">
        <is>
          <t>♠K</t>
        </is>
      </c>
    </row>
    <row r="1695">
      <c r="A1695" s="9" t="inlineStr">
        <is>
          <t>基础升级 抓方</t>
        </is>
      </c>
      <c r="C1695" t="inlineStr">
        <is>
          <t>+6</t>
        </is>
      </c>
    </row>
    <row r="1696">
      <c r="A1696" s="9" t="inlineStr">
        <is>
          <t>扣底加成</t>
        </is>
      </c>
      <c r="C1696" t="inlineStr">
        <is>
          <t>+3</t>
        </is>
      </c>
    </row>
    <row r="1697">
      <c r="A1697" s="9" t="inlineStr">
        <is>
          <t>总升级 抓方</t>
        </is>
      </c>
      <c r="C1697" t="inlineStr">
        <is>
          <t>+9</t>
        </is>
      </c>
    </row>
    <row r="1698">
      <c r="A1698" s="9" t="inlineStr">
        <is>
          <t>总升级 庄方</t>
        </is>
      </c>
      <c r="C1698" t="inlineStr">
        <is>
          <t>+0</t>
        </is>
      </c>
    </row>
    <row r="1699">
      <c r="A1699" s="9" t="inlineStr">
        <is>
          <t>结果</t>
        </is>
      </c>
      <c r="C1699" t="inlineStr">
        <is>
          <t>上台过7（需守庄）</t>
        </is>
      </c>
    </row>
    <row r="1702">
      <c r="A1702" s="6" t="inlineStr">
        <is>
          <t>═══ 第33局 ─ 上台过7（需守庄） ═══</t>
        </is>
      </c>
    </row>
    <row r="1703">
      <c r="A1703" s="7" t="inlineStr">
        <is>
          <t>庄家</t>
        </is>
      </c>
      <c r="C1703" t="inlineStr">
        <is>
          <t>玩家1</t>
        </is>
      </c>
    </row>
    <row r="1704">
      <c r="A1704" s="7" t="inlineStr">
        <is>
          <t>庄家方级牌</t>
        </is>
      </c>
      <c r="C1704" t="inlineStr">
        <is>
          <t>7</t>
        </is>
      </c>
    </row>
    <row r="1705">
      <c r="A1705" s="7" t="inlineStr">
        <is>
          <t>抓分方级牌</t>
        </is>
      </c>
      <c r="C1705" t="inlineStr">
        <is>
          <t>7</t>
        </is>
      </c>
    </row>
    <row r="1706">
      <c r="A1706" s="7" t="inlineStr">
        <is>
          <t>本局级牌</t>
        </is>
      </c>
      <c r="C1706" t="inlineStr">
        <is>
          <t>7</t>
        </is>
      </c>
    </row>
    <row r="1707">
      <c r="A1707" s="7" t="inlineStr">
        <is>
          <t>庄家阵营</t>
        </is>
      </c>
      <c r="C1707" t="inlineStr">
        <is>
          <t>玩家1、玩家3</t>
        </is>
      </c>
    </row>
    <row r="1708">
      <c r="A1708" s="7" t="inlineStr">
        <is>
          <t>抓分阵营</t>
        </is>
      </c>
      <c r="C1708" t="inlineStr">
        <is>
          <t>玩家2、玩家4</t>
        </is>
      </c>
    </row>
    <row r="1709">
      <c r="A1709" s="7" t="inlineStr">
        <is>
          <t>定主方式</t>
        </is>
      </c>
      <c r="C1709" t="inlineStr">
        <is>
          <t>bottom_card</t>
        </is>
      </c>
    </row>
    <row r="1710">
      <c r="A1710" s="7" t="inlineStr">
        <is>
          <t>主花色</t>
        </is>
      </c>
      <c r="C1710" t="inlineStr">
        <is>
          <t>黑桃</t>
        </is>
      </c>
    </row>
    <row r="1711">
      <c r="A1711" s="8" t="inlineStr">
        <is>
          <t>📋 初始手牌</t>
        </is>
      </c>
    </row>
    <row r="1712">
      <c r="A1712" t="inlineStr">
        <is>
          <t>玩家1</t>
        </is>
      </c>
      <c r="B1712" t="inlineStr">
        <is>
          <t>♣3 ♠K ♣6 ♣10 ♦J ♥J ♣K ♦5 ♣5 ♥3 ♦Q ♠A</t>
        </is>
      </c>
    </row>
    <row r="1713">
      <c r="A1713" t="inlineStr">
        <is>
          <t>玩家2</t>
        </is>
      </c>
      <c r="B1713" t="inlineStr">
        <is>
          <t>♥7 ♠3 ♥A ♥2 ♣Q ♠Q ♥K ♦8 ♦4 ♣2 ♥4 ♦3</t>
        </is>
      </c>
    </row>
    <row r="1714">
      <c r="A1714" t="inlineStr">
        <is>
          <t>玩家3</t>
        </is>
      </c>
      <c r="B1714" t="inlineStr">
        <is>
          <t>♠J ♦9 ♠6 ♠8 ♣8 ♥8 ♠9 ♥10 ♠10 ♣9 ♦6 ♥9</t>
        </is>
      </c>
    </row>
    <row r="1715">
      <c r="A1715" t="inlineStr">
        <is>
          <t>玩家4</t>
        </is>
      </c>
      <c r="B1715" t="inlineStr">
        <is>
          <t>♣A ♦K ♦7 ♥6 ♠4 ♥Q ♠5 小王 ♦10 大王 ♣7 ♣J</t>
        </is>
      </c>
    </row>
    <row r="1716">
      <c r="A1716" s="8" t="inlineStr">
        <is>
          <t>📦 底牌信息</t>
        </is>
      </c>
    </row>
    <row r="1717">
      <c r="A1717" t="inlineStr">
        <is>
          <t>初始底牌</t>
        </is>
      </c>
      <c r="B1717" t="inlineStr">
        <is>
          <t>♠7 ♦A ♥5 ♣4 ♦2 ♠2</t>
        </is>
      </c>
    </row>
    <row r="1718">
      <c r="A1718" t="inlineStr">
        <is>
          <t>庄家埋入</t>
        </is>
      </c>
      <c r="B1718" t="inlineStr">
        <is>
          <t>♣3 ♣6 ♦J ♥J ♦Q</t>
        </is>
      </c>
      <c r="D1718" t="inlineStr">
        <is>
          <t>♠2 ♣3 ♣6 ♦J ♥J ♦Q</t>
        </is>
      </c>
      <c r="E1718" t="inlineStr">
        <is>
          <t>分值=0</t>
        </is>
      </c>
    </row>
    <row r="1719">
      <c r="A1719" s="8" t="inlineStr">
        <is>
          <t>📝 操作日志</t>
        </is>
      </c>
    </row>
    <row r="1720">
      <c r="A1720">
        <f>== 第33局 ===</f>
        <v/>
      </c>
    </row>
    <row r="1721">
      <c r="A1721" t="inlineStr">
        <is>
          <t>庄家方级牌=7, 抓分方级牌=7, 庄家=玩家1</t>
        </is>
      </c>
    </row>
    <row r="1722">
      <c r="A1722" t="inlineStr">
        <is>
          <t>庄家阵营: 玩1、玩3 | 抓分阵营: 玩2、玩4</t>
        </is>
      </c>
    </row>
    <row r="1723">
      <c r="A1723" t="inlineStr">
        <is>
          <t>发牌完成 | 底牌: ♠7 ♦A ♥5 ♣4 ♦2 ♠2</t>
        </is>
      </c>
    </row>
    <row r="1724">
      <c r="A1724" t="inlineStr">
        <is>
          <t>【底牌首张定主】♠7 → 主=黑桃</t>
        </is>
      </c>
    </row>
    <row r="1725">
      <c r="A1725" t="inlineStr">
        <is>
          <t>【埋底】庄家（玩1）埋 ♣3 ♣6 ♦J ♥J ♦Q, 取回 ♠7 ♦A ♥5 ♣4 ♦2</t>
        </is>
      </c>
    </row>
    <row r="1726">
      <c r="A1726" t="inlineStr">
        <is>
          <t xml:space="preserve">  埋底后底牌: ♠2 ♣3 ♣6 ♦J ♥J ♦Q (分值=0)</t>
        </is>
      </c>
    </row>
    <row r="1727">
      <c r="A1727" t="inlineStr">
        <is>
          <t>第1圈 [对子]: 玩1首出 → [玩1:♠A ♦A | 玩2:♠3 ♠Q | 玩3:♠6 ♠8 | 玩4:♠4 ♠5] → 赢: 玩1(♠A) 分=5</t>
        </is>
      </c>
    </row>
    <row r="1728">
      <c r="A1728" t="inlineStr">
        <is>
          <t>第2圈 [单张]: 玩1首出 → [玩1:♣4 | 玩2:♣2 | 玩3:♣8 | 玩4:♣7] → 赢: 玩2(♣2) 分=0</t>
        </is>
      </c>
    </row>
    <row r="1729">
      <c r="A1729" t="inlineStr">
        <is>
          <t>第3圈 [对子]: 玩2首出 → [玩2:♦4 ♥4 | 玩3:♦6 ♦9 | 玩4:♦7 ♦10 | 玩1:♦2 ♦5] → 赢: 玩1(♦2) 分=15</t>
        </is>
      </c>
    </row>
    <row r="1730">
      <c r="A1730" t="inlineStr">
        <is>
          <t>第4圈 [单张]: 玩1首出 → [玩1:♠7 | 玩2:♦3 | 玩3:♠9 | 玩4:♥6] → 赢: 玩3(♠9) 分=0</t>
        </is>
      </c>
    </row>
    <row r="1731">
      <c r="A1731" t="inlineStr">
        <is>
          <t>第5圈 [对子]: 玩3首出 → [玩3:♣9 ♥9 | 玩4:♣J ♣A | 玩1:♣5 ♣10 | 玩2:♥2] → 赢: 玩2(♥2) 分=15</t>
        </is>
      </c>
    </row>
    <row r="1732">
      <c r="A1732" t="inlineStr">
        <is>
          <t>第6圈 [单张]: 玩2首出 → [玩2:♥7 | 玩3:♥8 | 玩4:♥Q | 玩1:♥3] → 赢: 玩1(♥3) 分=0</t>
        </is>
      </c>
    </row>
    <row r="1733">
      <c r="A1733" t="inlineStr">
        <is>
          <t>第7圈 [单张]: 玩1首出 → [玩1:♥5 | 玩2:♥K | 玩3:♥10 | 玩4:小王] → 赢: 玩4(小王) 分=25</t>
        </is>
      </c>
    </row>
    <row r="1734">
      <c r="A1734" t="inlineStr">
        <is>
          <t>第8圈 [单张]: 玩4首出 → [玩4:大王 | 玩1:♠K | 玩2:♦8 | 玩3:♠10] → 赢: 玩4(大王) 分=20</t>
        </is>
      </c>
    </row>
    <row r="1735">
      <c r="A1735" t="inlineStr">
        <is>
          <t>第9圈 [单张]: 玩4首出 → [玩4:♦K | 玩1:♣K | 玩2:♣Q | 玩3:♠J] → 赢: 玩4(♦K) 分=20</t>
        </is>
      </c>
    </row>
    <row r="1736">
      <c r="A1736" t="inlineStr">
        <is>
          <t>第10圈 [单张]: 玩4首出 → [玩4:无 | 玩1:无 | 玩2:♥A | 玩3:无] → 赢: 玩2(♥A) 分=0</t>
        </is>
      </c>
    </row>
    <row r="1737">
      <c r="A1737" t="inlineStr">
        <is>
          <t>抓分方总分=100</t>
        </is>
      </c>
    </row>
    <row r="1738">
      <c r="A1738" t="inlineStr">
        <is>
          <t>结算: 抓分=100 扣底=是 庄方+0 抓方+9</t>
        </is>
      </c>
    </row>
    <row r="1739">
      <c r="A1739" t="inlineStr">
        <is>
          <t>级牌: 庄方 7→7 | 抓方 7→16</t>
        </is>
      </c>
    </row>
    <row r="1740">
      <c r="A1740" t="inlineStr">
        <is>
          <t>⚠️ 抓分方 16 &gt; 7，强制停在7，获得庄权，需再守庄一局</t>
        </is>
      </c>
    </row>
    <row r="1741">
      <c r="A1741" t="inlineStr">
        <is>
          <t>庄家变更: → 玩2</t>
        </is>
      </c>
    </row>
    <row r="1742">
      <c r="A1742" t="inlineStr">
        <is>
          <t>级牌重置: 庄家方=7 抓分方=7</t>
        </is>
      </c>
    </row>
    <row r="1743">
      <c r="A1743" t="inlineStr">
        <is>
          <t>守庄失败，对方上台继续</t>
        </is>
      </c>
    </row>
    <row r="1744">
      <c r="A1744" t="inlineStr">
        <is>
          <t>第33局结束 | 庄家方=7 抓分方=7</t>
        </is>
      </c>
    </row>
    <row r="1745">
      <c r="A1745" s="8" t="inlineStr">
        <is>
          <t>📊 结算</t>
        </is>
      </c>
    </row>
    <row r="1746">
      <c r="A1746" s="9" t="inlineStr">
        <is>
          <t>抓分方得分</t>
        </is>
      </c>
      <c r="C1746" t="inlineStr">
        <is>
          <t>100</t>
        </is>
      </c>
    </row>
    <row r="1747">
      <c r="A1747" s="9" t="inlineStr">
        <is>
          <t>是否扣底</t>
        </is>
      </c>
      <c r="C1747" t="inlineStr">
        <is>
          <t>是</t>
        </is>
      </c>
    </row>
    <row r="1748">
      <c r="A1748" s="9" t="inlineStr">
        <is>
          <t>扣底牌</t>
        </is>
      </c>
      <c r="C1748" t="inlineStr">
        <is>
          <t>♥A</t>
        </is>
      </c>
    </row>
    <row r="1749">
      <c r="A1749" s="9" t="inlineStr">
        <is>
          <t>基础升级 抓方</t>
        </is>
      </c>
      <c r="C1749" t="inlineStr">
        <is>
          <t>+6</t>
        </is>
      </c>
    </row>
    <row r="1750">
      <c r="A1750" s="9" t="inlineStr">
        <is>
          <t>扣底加成</t>
        </is>
      </c>
      <c r="C1750" t="inlineStr">
        <is>
          <t>+3</t>
        </is>
      </c>
    </row>
    <row r="1751">
      <c r="A1751" s="9" t="inlineStr">
        <is>
          <t>总升级 抓方</t>
        </is>
      </c>
      <c r="C1751" t="inlineStr">
        <is>
          <t>+9</t>
        </is>
      </c>
    </row>
    <row r="1752">
      <c r="A1752" s="9" t="inlineStr">
        <is>
          <t>总升级 庄方</t>
        </is>
      </c>
      <c r="C1752" t="inlineStr">
        <is>
          <t>+0</t>
        </is>
      </c>
    </row>
    <row r="1753">
      <c r="A1753" s="9" t="inlineStr">
        <is>
          <t>结果</t>
        </is>
      </c>
      <c r="C1753" t="inlineStr">
        <is>
          <t>上台过7（需守庄）</t>
        </is>
      </c>
    </row>
    <row r="1756">
      <c r="A1756" s="6" t="inlineStr">
        <is>
          <t>═══ 第34局 ─ 上台过7（需守庄） ═══</t>
        </is>
      </c>
    </row>
    <row r="1757">
      <c r="A1757" s="7" t="inlineStr">
        <is>
          <t>庄家</t>
        </is>
      </c>
      <c r="C1757" t="inlineStr">
        <is>
          <t>玩家2</t>
        </is>
      </c>
    </row>
    <row r="1758">
      <c r="A1758" s="7" t="inlineStr">
        <is>
          <t>庄家方级牌</t>
        </is>
      </c>
      <c r="C1758" t="inlineStr">
        <is>
          <t>7</t>
        </is>
      </c>
    </row>
    <row r="1759">
      <c r="A1759" s="7" t="inlineStr">
        <is>
          <t>抓分方级牌</t>
        </is>
      </c>
      <c r="C1759" t="inlineStr">
        <is>
          <t>7</t>
        </is>
      </c>
    </row>
    <row r="1760">
      <c r="A1760" s="7" t="inlineStr">
        <is>
          <t>本局级牌</t>
        </is>
      </c>
      <c r="C1760" t="inlineStr">
        <is>
          <t>7</t>
        </is>
      </c>
    </row>
    <row r="1761">
      <c r="A1761" s="7" t="inlineStr">
        <is>
          <t>庄家阵营</t>
        </is>
      </c>
      <c r="C1761" t="inlineStr">
        <is>
          <t>玩家2、玩家4</t>
        </is>
      </c>
    </row>
    <row r="1762">
      <c r="A1762" s="7" t="inlineStr">
        <is>
          <t>抓分阵营</t>
        </is>
      </c>
      <c r="C1762" t="inlineStr">
        <is>
          <t>玩家3、玩家1</t>
        </is>
      </c>
    </row>
    <row r="1763">
      <c r="A1763" s="7" t="inlineStr">
        <is>
          <t>定主方式</t>
        </is>
      </c>
      <c r="C1763" t="inlineStr">
        <is>
          <t>bottom_card</t>
        </is>
      </c>
    </row>
    <row r="1764">
      <c r="A1764" s="7" t="inlineStr">
        <is>
          <t>主花色</t>
        </is>
      </c>
      <c r="C1764" t="inlineStr">
        <is>
          <t>方块</t>
        </is>
      </c>
    </row>
    <row r="1765">
      <c r="A1765" s="8" t="inlineStr">
        <is>
          <t>📋 初始手牌</t>
        </is>
      </c>
    </row>
    <row r="1766">
      <c r="A1766" t="inlineStr">
        <is>
          <t>玩家1</t>
        </is>
      </c>
      <c r="B1766" t="inlineStr">
        <is>
          <t>♦J ♣J ♦9 ♠J ♣10 ♦2 ♣4 ♦8 ♣K ♦4 ♠4 ♠9</t>
        </is>
      </c>
    </row>
    <row r="1767">
      <c r="A1767" t="inlineStr">
        <is>
          <t>玩家2</t>
        </is>
      </c>
      <c r="B1767" t="inlineStr">
        <is>
          <t>♠7 ♠Q 大王 ♣2 ♣5 小王 ♥2 ♦5 ♥9 ♦3 ♠8 ♥A</t>
        </is>
      </c>
    </row>
    <row r="1768">
      <c r="A1768" t="inlineStr">
        <is>
          <t>玩家3</t>
        </is>
      </c>
      <c r="B1768" t="inlineStr">
        <is>
          <t>♥3 ♥Q ♠3 ♠10 ♣Q ♠5 ♦A ♣7 ♥8 ♦10 ♣8 ♠6</t>
        </is>
      </c>
    </row>
    <row r="1769">
      <c r="A1769" t="inlineStr">
        <is>
          <t>玩家4</t>
        </is>
      </c>
      <c r="B1769" t="inlineStr">
        <is>
          <t>♠2 ♥5 ♠K ♥4 ♣6 ♠A ♣3 ♥K ♣A ♦K ♥10 ♥7</t>
        </is>
      </c>
    </row>
    <row r="1770">
      <c r="A1770" s="8" t="inlineStr">
        <is>
          <t>📦 底牌信息</t>
        </is>
      </c>
    </row>
    <row r="1771">
      <c r="A1771" t="inlineStr">
        <is>
          <t>初始底牌</t>
        </is>
      </c>
      <c r="B1771" t="inlineStr">
        <is>
          <t>♦7 ♦Q ♥J ♣9 ♥6 ♦6</t>
        </is>
      </c>
    </row>
    <row r="1772">
      <c r="A1772" t="inlineStr">
        <is>
          <t>庄家埋入</t>
        </is>
      </c>
      <c r="B1772" t="inlineStr">
        <is>
          <t>♦3 ♠7 ♠8 ♥9</t>
        </is>
      </c>
      <c r="D1772" t="inlineStr">
        <is>
          <t>♥6 ♦6 ♦3 ♠7 ♠8 ♥9</t>
        </is>
      </c>
      <c r="E1772" t="inlineStr">
        <is>
          <t>分值=0</t>
        </is>
      </c>
    </row>
    <row r="1773">
      <c r="A1773" s="8" t="inlineStr">
        <is>
          <t>📝 操作日志</t>
        </is>
      </c>
    </row>
    <row r="1774">
      <c r="A1774">
        <f>== 第34局 ===</f>
        <v/>
      </c>
    </row>
    <row r="1775">
      <c r="A1775" t="inlineStr">
        <is>
          <t>庄家方级牌=7, 抓分方级牌=7, 庄家=玩家2</t>
        </is>
      </c>
    </row>
    <row r="1776">
      <c r="A1776" t="inlineStr">
        <is>
          <t>庄家阵营: 玩2、玩4 | 抓分阵营: 玩3、玩1</t>
        </is>
      </c>
    </row>
    <row r="1777">
      <c r="A1777" t="inlineStr">
        <is>
          <t>发牌完成 | 底牌: ♦7 ♦Q ♥J ♣9 ♥6 ♦6</t>
        </is>
      </c>
    </row>
    <row r="1778">
      <c r="A1778" t="inlineStr">
        <is>
          <t>【底牌首张定主】♦7 → 主=方块</t>
        </is>
      </c>
    </row>
    <row r="1779">
      <c r="A1779" t="inlineStr">
        <is>
          <t>【埋底】庄家（玩2）埋 ♦3 ♠7 ♠8 ♥9, 取回 ♦7 ♦Q ♥J ♣9</t>
        </is>
      </c>
    </row>
    <row r="1780">
      <c r="A1780" t="inlineStr">
        <is>
          <t xml:space="preserve">  埋底后底牌: ♥6 ♦6 ♦3 ♠7 ♠8 ♥9 (分值=0)</t>
        </is>
      </c>
    </row>
    <row r="1781">
      <c r="A1781" t="inlineStr">
        <is>
          <t>第1圈 [对子]: 玩2首出 → [玩2:♠Q ♦Q | 玩3:♠3 ♠5 | 玩4:♠2 ♠K | 玩1:♠4 ♠9] → 赢: 玩4(♠2) 分=15</t>
        </is>
      </c>
    </row>
    <row r="1782">
      <c r="A1782" t="inlineStr">
        <is>
          <t>第2圈 [对子]: 玩4首出 → [玩4:♠A ♣A | 玩1:♣4 ♦4 | 玩2:♣5 ♦5 | 玩3:♠6 ♠10] → 赢: 玩4(♠A) 分=20</t>
        </is>
      </c>
    </row>
    <row r="1783">
      <c r="A1783" t="inlineStr">
        <is>
          <t>第3圈 [单张]: 玩4首出 → [玩4:♣3 | 玩1:♣J | 玩2:♣2 | 玩3:♣7] → 赢: 玩2(♣2) 分=0</t>
        </is>
      </c>
    </row>
    <row r="1784">
      <c r="A1784" t="inlineStr">
        <is>
          <t>第4圈 [单张]: 玩2首出 → [玩2:♦7 | 玩3:♦A | 玩4:♦K | 玩1:♦2] → 赢: 玩1(♦2) 分=10</t>
        </is>
      </c>
    </row>
    <row r="1785">
      <c r="A1785" t="inlineStr">
        <is>
          <t>第5圈 [对子]: 玩1首出 → [玩1:♦J ♠J | 玩2:♣9 ♥J | 玩3:♥8 ♣8 | 玩4:♥4 ♥5] → 赢: 玩1(♦J) 分=5</t>
        </is>
      </c>
    </row>
    <row r="1786">
      <c r="A1786" t="inlineStr">
        <is>
          <t>第6圈 [单张]: 玩1首出 → [玩1:♦8 | 玩2:♥A | 玩3:♦10 | 玩4:♣6] → 赢: 玩3(♦10) 分=10</t>
        </is>
      </c>
    </row>
    <row r="1787">
      <c r="A1787" t="inlineStr">
        <is>
          <t>第7圈 [对子]: 玩3首出 → [玩3:♥Q ♣Q | 玩4:♥7 ♥10 | 玩1:♦9 ♣10 | 玩2:♥2 小王] → 赢: 玩2(小王) 分=20</t>
        </is>
      </c>
    </row>
    <row r="1788">
      <c r="A1788" t="inlineStr">
        <is>
          <t>第8圈 [单张]: 玩2首出 → [玩2:大王 | 玩3:♥3 | 玩4:♥K | 玩1:♣K] → 赢: 玩3(♥3) 分=20</t>
        </is>
      </c>
    </row>
    <row r="1789">
      <c r="A1789" t="inlineStr">
        <is>
          <t>抓分方总分=100</t>
        </is>
      </c>
    </row>
    <row r="1790">
      <c r="A1790" t="inlineStr">
        <is>
          <t>结算: 抓分=100 扣底=是 庄方+0 抓方+9</t>
        </is>
      </c>
    </row>
    <row r="1791">
      <c r="A1791" t="inlineStr">
        <is>
          <t>级牌: 庄方 7→7 | 抓方 7→16</t>
        </is>
      </c>
    </row>
    <row r="1792">
      <c r="A1792" t="inlineStr">
        <is>
          <t>⚠️ 抓分方 16 &gt; 7，强制停在7，获得庄权，需再守庄一局</t>
        </is>
      </c>
    </row>
    <row r="1793">
      <c r="A1793" t="inlineStr">
        <is>
          <t>庄家变更: → 玩3</t>
        </is>
      </c>
    </row>
    <row r="1794">
      <c r="A1794" t="inlineStr">
        <is>
          <t>级牌重置: 庄家方=7 抓分方=7</t>
        </is>
      </c>
    </row>
    <row r="1795">
      <c r="A1795" t="inlineStr">
        <is>
          <t>守庄失败，对方上台继续</t>
        </is>
      </c>
    </row>
    <row r="1796">
      <c r="A1796" t="inlineStr">
        <is>
          <t>第34局结束 | 庄家方=7 抓分方=7</t>
        </is>
      </c>
    </row>
    <row r="1797">
      <c r="A1797" s="8" t="inlineStr">
        <is>
          <t>📊 结算</t>
        </is>
      </c>
    </row>
    <row r="1798">
      <c r="A1798" s="9" t="inlineStr">
        <is>
          <t>抓分方得分</t>
        </is>
      </c>
      <c r="C1798" t="inlineStr">
        <is>
          <t>100</t>
        </is>
      </c>
    </row>
    <row r="1799">
      <c r="A1799" s="9" t="inlineStr">
        <is>
          <t>是否扣底</t>
        </is>
      </c>
      <c r="C1799" t="inlineStr">
        <is>
          <t>是</t>
        </is>
      </c>
    </row>
    <row r="1800">
      <c r="A1800" s="9" t="inlineStr">
        <is>
          <t>扣底牌</t>
        </is>
      </c>
      <c r="C1800" t="inlineStr">
        <is>
          <t>♥3</t>
        </is>
      </c>
    </row>
    <row r="1801">
      <c r="A1801" s="9" t="inlineStr">
        <is>
          <t>基础升级 抓方</t>
        </is>
      </c>
      <c r="C1801" t="inlineStr">
        <is>
          <t>+6</t>
        </is>
      </c>
    </row>
    <row r="1802">
      <c r="A1802" s="9" t="inlineStr">
        <is>
          <t>扣底加成</t>
        </is>
      </c>
      <c r="C1802" t="inlineStr">
        <is>
          <t>+3</t>
        </is>
      </c>
    </row>
    <row r="1803">
      <c r="A1803" s="9" t="inlineStr">
        <is>
          <t>总升级 抓方</t>
        </is>
      </c>
      <c r="C1803" t="inlineStr">
        <is>
          <t>+9</t>
        </is>
      </c>
    </row>
    <row r="1804">
      <c r="A1804" s="9" t="inlineStr">
        <is>
          <t>总升级 庄方</t>
        </is>
      </c>
      <c r="C1804" t="inlineStr">
        <is>
          <t>+0</t>
        </is>
      </c>
    </row>
    <row r="1805">
      <c r="A1805" s="9" t="inlineStr">
        <is>
          <t>结果</t>
        </is>
      </c>
      <c r="C1805" t="inlineStr">
        <is>
          <t>上台过7（需守庄）</t>
        </is>
      </c>
    </row>
    <row r="1808">
      <c r="A1808" s="6" t="inlineStr">
        <is>
          <t>═══ 第35局 ─ 上台过7（需守庄） ═══</t>
        </is>
      </c>
    </row>
    <row r="1809">
      <c r="A1809" s="7" t="inlineStr">
        <is>
          <t>庄家</t>
        </is>
      </c>
      <c r="C1809" t="inlineStr">
        <is>
          <t>玩家3</t>
        </is>
      </c>
    </row>
    <row r="1810">
      <c r="A1810" s="7" t="inlineStr">
        <is>
          <t>庄家方级牌</t>
        </is>
      </c>
      <c r="C1810" t="inlineStr">
        <is>
          <t>7</t>
        </is>
      </c>
    </row>
    <row r="1811">
      <c r="A1811" s="7" t="inlineStr">
        <is>
          <t>抓分方级牌</t>
        </is>
      </c>
      <c r="C1811" t="inlineStr">
        <is>
          <t>7</t>
        </is>
      </c>
    </row>
    <row r="1812">
      <c r="A1812" s="7" t="inlineStr">
        <is>
          <t>本局级牌</t>
        </is>
      </c>
      <c r="C1812" t="inlineStr">
        <is>
          <t>7</t>
        </is>
      </c>
    </row>
    <row r="1813">
      <c r="A1813" s="7" t="inlineStr">
        <is>
          <t>庄家阵营</t>
        </is>
      </c>
      <c r="C1813" t="inlineStr">
        <is>
          <t>玩家3、玩家1</t>
        </is>
      </c>
    </row>
    <row r="1814">
      <c r="A1814" s="7" t="inlineStr">
        <is>
          <t>抓分阵营</t>
        </is>
      </c>
      <c r="C1814" t="inlineStr">
        <is>
          <t>玩家4、玩家2</t>
        </is>
      </c>
    </row>
    <row r="1815">
      <c r="A1815" s="7" t="inlineStr">
        <is>
          <t>定主方式</t>
        </is>
      </c>
      <c r="C1815" t="inlineStr">
        <is>
          <t>bottom_card</t>
        </is>
      </c>
    </row>
    <row r="1816">
      <c r="A1816" s="7" t="inlineStr">
        <is>
          <t>主花色</t>
        </is>
      </c>
      <c r="C1816" t="inlineStr">
        <is>
          <t>红桃</t>
        </is>
      </c>
    </row>
    <row r="1817">
      <c r="A1817" s="8" t="inlineStr">
        <is>
          <t>📋 初始手牌</t>
        </is>
      </c>
    </row>
    <row r="1818">
      <c r="A1818" t="inlineStr">
        <is>
          <t>玩家1</t>
        </is>
      </c>
      <c r="B1818" t="inlineStr">
        <is>
          <t>♥K ♠3 ♣4 ♠8 ♥J ♠9 ♣7 ♠5 ♠J ♣J ♦6 ♦10</t>
        </is>
      </c>
    </row>
    <row r="1819">
      <c r="A1819" t="inlineStr">
        <is>
          <t>玩家2</t>
        </is>
      </c>
      <c r="B1819" t="inlineStr">
        <is>
          <t>♥A ♣9 ♦5 ♠6 ♣3 ♠Q ♥3 ♦4 ♥8 ♦8 ♦2 ♦K</t>
        </is>
      </c>
    </row>
    <row r="1820">
      <c r="A1820" t="inlineStr">
        <is>
          <t>玩家3</t>
        </is>
      </c>
      <c r="B1820" t="inlineStr">
        <is>
          <t>♠4 ♣8 ♠2 ♥2 ♠7 ♦Q ♦3 ♣Q ♣5 ♦9 ♥4 ♠K</t>
        </is>
      </c>
    </row>
    <row r="1821">
      <c r="A1821" t="inlineStr">
        <is>
          <t>玩家4</t>
        </is>
      </c>
      <c r="B1821" t="inlineStr">
        <is>
          <t>♥5 ♥Q ♥6 大王 ♥7 ♣10 ♣6 ♣A ♦A ♦J ♣2 ♠A</t>
        </is>
      </c>
    </row>
    <row r="1822">
      <c r="A1822" s="8" t="inlineStr">
        <is>
          <t>📦 底牌信息</t>
        </is>
      </c>
    </row>
    <row r="1823">
      <c r="A1823" t="inlineStr">
        <is>
          <t>初始底牌</t>
        </is>
      </c>
      <c r="B1823" t="inlineStr">
        <is>
          <t>♥9 ♣K ♥10 小王 ♦7 ♠10</t>
        </is>
      </c>
    </row>
    <row r="1824">
      <c r="A1824" t="inlineStr">
        <is>
          <t>庄家埋入</t>
        </is>
      </c>
      <c r="B1824" t="inlineStr">
        <is>
          <t>♦3 ♠4 ♥4 ♠7</t>
        </is>
      </c>
      <c r="D1824" t="inlineStr">
        <is>
          <t>♦7 ♠10 ♦3 ♠4 ♥4 ♠7</t>
        </is>
      </c>
      <c r="E1824" t="inlineStr">
        <is>
          <t>分值=10</t>
        </is>
      </c>
    </row>
    <row r="1825">
      <c r="A1825" s="8" t="inlineStr">
        <is>
          <t>📝 操作日志</t>
        </is>
      </c>
    </row>
    <row r="1826">
      <c r="A1826">
        <f>== 第35局 ===</f>
        <v/>
      </c>
    </row>
    <row r="1827">
      <c r="A1827" t="inlineStr">
        <is>
          <t>庄家方级牌=7, 抓分方级牌=7, 庄家=玩家3</t>
        </is>
      </c>
    </row>
    <row r="1828">
      <c r="A1828" t="inlineStr">
        <is>
          <t>庄家阵营: 玩3、玩1 | 抓分阵营: 玩4、玩2</t>
        </is>
      </c>
    </row>
    <row r="1829">
      <c r="A1829" t="inlineStr">
        <is>
          <t>发牌完成 | 底牌: ♥9 ♣K ♥10 小王 ♦7 ♠10</t>
        </is>
      </c>
    </row>
    <row r="1830">
      <c r="A1830" t="inlineStr">
        <is>
          <t>【底牌首张定主】♥9 → 主=红桃</t>
        </is>
      </c>
    </row>
    <row r="1831">
      <c r="A1831" t="inlineStr">
        <is>
          <t>【埋底】庄家（玩3）埋 ♦3 ♠4 ♥4 ♠7, 取回 ♥9 ♣K ♥10 小王</t>
        </is>
      </c>
    </row>
    <row r="1832">
      <c r="A1832" t="inlineStr">
        <is>
          <t xml:space="preserve">  埋底后底牌: ♦7 ♠10 ♦3 ♠4 ♥4 ♠7 (分值=10)</t>
        </is>
      </c>
    </row>
    <row r="1833">
      <c r="A1833" t="inlineStr">
        <is>
          <t>第1圈 [对子]: 玩3首出 → [玩3:♦9 ♥9 | 玩4:♦J ♦A | 玩1:♦6 ♦10 | 玩2:♦2 ♦4] → 赢: 玩2(♦2) 分=10</t>
        </is>
      </c>
    </row>
    <row r="1834">
      <c r="A1834" t="inlineStr">
        <is>
          <t>第2圈 [对子]: 玩2首出 → [玩2:♣3 ♥3 | 玩3:♣5 ♣8 | 玩4:♣2 ♣6 | 玩1:♣4 ♣7] → 赢: 玩2(♥3) 分=5</t>
        </is>
      </c>
    </row>
    <row r="1835">
      <c r="A1835" t="inlineStr">
        <is>
          <t>第3圈 [对子]: 玩2首出 → [玩2:♥8 ♦8 | 玩3:♥2 ♥10 | 玩4:♥5 ♥6 | 玩1:♥J ♥K] → 赢: 玩3(♥2) 分=25</t>
        </is>
      </c>
    </row>
    <row r="1836">
      <c r="A1836" t="inlineStr">
        <is>
          <t>第4圈 [对子]: 玩3首出 → [玩3:♦Q ♣Q | 玩4:♥7 ♣10 | 玩1:♠3 ♠5 | 玩2:♦5 ♦K] → 赢: 玩2(♦K) 分=30</t>
        </is>
      </c>
    </row>
    <row r="1837">
      <c r="A1837" t="inlineStr">
        <is>
          <t>第5圈 [单张]: 玩2首出 → [玩2:♠6 | 玩3:♠2 | 玩4:♠A | 玩1:♠8] → 赢: 玩3(♠2) 分=0</t>
        </is>
      </c>
    </row>
    <row r="1838">
      <c r="A1838" t="inlineStr">
        <is>
          <t>第6圈 [单张]: 玩3首出 → [玩3:小王 | 玩4:大王 | 玩1:♠9 | 玩2:♣9] → 赢: 玩4(大王) 分=0</t>
        </is>
      </c>
    </row>
    <row r="1839">
      <c r="A1839" t="inlineStr">
        <is>
          <t>第7圈 [单张]: 玩4首出 → [玩4:♥Q | 玩1:♠J | 玩2:♥A | 玩3:♠K] → 赢: 玩2(♥A) 分=10</t>
        </is>
      </c>
    </row>
    <row r="1840">
      <c r="A1840" t="inlineStr">
        <is>
          <t>第8圈 [单张]: 玩2首出 → [玩2:♠Q | 玩3:♣K | 玩4:♣A | 玩1:♣J] → 赢: 玩2(♠Q) 分=10</t>
        </is>
      </c>
    </row>
    <row r="1841">
      <c r="A1841" t="inlineStr">
        <is>
          <t>抓分方总分=90</t>
        </is>
      </c>
    </row>
    <row r="1842">
      <c r="A1842" t="inlineStr">
        <is>
          <t>结算: 抓分=90 扣底=是 庄方+0 抓方+9</t>
        </is>
      </c>
    </row>
    <row r="1843">
      <c r="A1843" t="inlineStr">
        <is>
          <t>级牌: 庄方 7→7 | 抓方 7→16</t>
        </is>
      </c>
    </row>
    <row r="1844">
      <c r="A1844" t="inlineStr">
        <is>
          <t>⚠️ 抓分方 16 &gt; 7，强制停在7，获得庄权，需再守庄一局</t>
        </is>
      </c>
    </row>
    <row r="1845">
      <c r="A1845" t="inlineStr">
        <is>
          <t>庄家变更: → 玩4</t>
        </is>
      </c>
    </row>
    <row r="1846">
      <c r="A1846" t="inlineStr">
        <is>
          <t>级牌重置: 庄家方=7 抓分方=7</t>
        </is>
      </c>
    </row>
    <row r="1847">
      <c r="A1847" t="inlineStr">
        <is>
          <t>守庄失败，对方上台继续</t>
        </is>
      </c>
    </row>
    <row r="1848">
      <c r="A1848" t="inlineStr">
        <is>
          <t>第35局结束 | 庄家方=7 抓分方=7</t>
        </is>
      </c>
    </row>
    <row r="1849">
      <c r="A1849" s="8" t="inlineStr">
        <is>
          <t>📊 结算</t>
        </is>
      </c>
    </row>
    <row r="1850">
      <c r="A1850" s="9" t="inlineStr">
        <is>
          <t>抓分方得分</t>
        </is>
      </c>
      <c r="C1850" t="inlineStr">
        <is>
          <t>90</t>
        </is>
      </c>
    </row>
    <row r="1851">
      <c r="A1851" s="9" t="inlineStr">
        <is>
          <t>是否扣底</t>
        </is>
      </c>
      <c r="C1851" t="inlineStr">
        <is>
          <t>是</t>
        </is>
      </c>
    </row>
    <row r="1852">
      <c r="A1852" s="9" t="inlineStr">
        <is>
          <t>扣底牌</t>
        </is>
      </c>
      <c r="C1852" t="inlineStr">
        <is>
          <t>♠Q</t>
        </is>
      </c>
    </row>
    <row r="1853">
      <c r="A1853" s="9" t="inlineStr">
        <is>
          <t>基础升级 抓方</t>
        </is>
      </c>
      <c r="C1853" t="inlineStr">
        <is>
          <t>+6</t>
        </is>
      </c>
    </row>
    <row r="1854">
      <c r="A1854" s="9" t="inlineStr">
        <is>
          <t>扣底加成</t>
        </is>
      </c>
      <c r="C1854" t="inlineStr">
        <is>
          <t>+3</t>
        </is>
      </c>
    </row>
    <row r="1855">
      <c r="A1855" s="9" t="inlineStr">
        <is>
          <t>总升级 抓方</t>
        </is>
      </c>
      <c r="C1855" t="inlineStr">
        <is>
          <t>+9</t>
        </is>
      </c>
    </row>
    <row r="1856">
      <c r="A1856" s="9" t="inlineStr">
        <is>
          <t>总升级 庄方</t>
        </is>
      </c>
      <c r="C1856" t="inlineStr">
        <is>
          <t>+0</t>
        </is>
      </c>
    </row>
    <row r="1857">
      <c r="A1857" s="9" t="inlineStr">
        <is>
          <t>结果</t>
        </is>
      </c>
      <c r="C1857" t="inlineStr">
        <is>
          <t>上台过7（需守庄）</t>
        </is>
      </c>
    </row>
    <row r="1860">
      <c r="A1860" s="6" t="inlineStr">
        <is>
          <t>═══ 第36局 ─ 上台过7（需守庄） ═══</t>
        </is>
      </c>
    </row>
    <row r="1861">
      <c r="A1861" s="7" t="inlineStr">
        <is>
          <t>庄家</t>
        </is>
      </c>
      <c r="C1861" t="inlineStr">
        <is>
          <t>玩家4</t>
        </is>
      </c>
    </row>
    <row r="1862">
      <c r="A1862" s="7" t="inlineStr">
        <is>
          <t>庄家方级牌</t>
        </is>
      </c>
      <c r="C1862" t="inlineStr">
        <is>
          <t>7</t>
        </is>
      </c>
    </row>
    <row r="1863">
      <c r="A1863" s="7" t="inlineStr">
        <is>
          <t>抓分方级牌</t>
        </is>
      </c>
      <c r="C1863" t="inlineStr">
        <is>
          <t>7</t>
        </is>
      </c>
    </row>
    <row r="1864">
      <c r="A1864" s="7" t="inlineStr">
        <is>
          <t>本局级牌</t>
        </is>
      </c>
      <c r="C1864" t="inlineStr">
        <is>
          <t>7</t>
        </is>
      </c>
    </row>
    <row r="1865">
      <c r="A1865" s="7" t="inlineStr">
        <is>
          <t>庄家阵营</t>
        </is>
      </c>
      <c r="C1865" t="inlineStr">
        <is>
          <t>玩家4、玩家2</t>
        </is>
      </c>
    </row>
    <row r="1866">
      <c r="A1866" s="7" t="inlineStr">
        <is>
          <t>抓分阵营</t>
        </is>
      </c>
      <c r="C1866" t="inlineStr">
        <is>
          <t>玩家1、玩家3</t>
        </is>
      </c>
    </row>
    <row r="1867">
      <c r="A1867" s="7" t="inlineStr">
        <is>
          <t>定主方式</t>
        </is>
      </c>
      <c r="C1867" t="inlineStr">
        <is>
          <t>bottom_card</t>
        </is>
      </c>
    </row>
    <row r="1868">
      <c r="A1868" s="7" t="inlineStr">
        <is>
          <t>主花色</t>
        </is>
      </c>
      <c r="C1868" t="inlineStr">
        <is>
          <t>红桃</t>
        </is>
      </c>
    </row>
    <row r="1869">
      <c r="A1869" s="8" t="inlineStr">
        <is>
          <t>📋 初始手牌</t>
        </is>
      </c>
    </row>
    <row r="1870">
      <c r="A1870" t="inlineStr">
        <is>
          <t>玩家1</t>
        </is>
      </c>
      <c r="B1870" t="inlineStr">
        <is>
          <t>♥J ♥4 ♥6 ♣3 ♥10 ♣4 ♠Q ♠5 ♥3 ♦9 ♦K ♠A</t>
        </is>
      </c>
    </row>
    <row r="1871">
      <c r="A1871" t="inlineStr">
        <is>
          <t>玩家2</t>
        </is>
      </c>
      <c r="B1871" t="inlineStr">
        <is>
          <t>♦4 ♦J ♥7 ♦5 ♠7 ♥K ♥A ♦A ♠3 ♥Q ♠10 ♠K</t>
        </is>
      </c>
    </row>
    <row r="1872">
      <c r="A1872" t="inlineStr">
        <is>
          <t>玩家3</t>
        </is>
      </c>
      <c r="B1872" t="inlineStr">
        <is>
          <t>♦7 ♣J ♦8 ♣Q ♣7 ♣10 ♣8 ♦2 ♦3 ♣9 ♣K ♠4</t>
        </is>
      </c>
    </row>
    <row r="1873">
      <c r="A1873" t="inlineStr">
        <is>
          <t>玩家4</t>
        </is>
      </c>
      <c r="B1873" t="inlineStr">
        <is>
          <t>♥5 ♠9 ♥8 小王 ♦10 ♣6 ♠J ♠8 ♣A 大王 ♥2 ♠2</t>
        </is>
      </c>
    </row>
    <row r="1874">
      <c r="A1874" s="8" t="inlineStr">
        <is>
          <t>📦 底牌信息</t>
        </is>
      </c>
    </row>
    <row r="1875">
      <c r="A1875" t="inlineStr">
        <is>
          <t>初始底牌</t>
        </is>
      </c>
      <c r="B1875" t="inlineStr">
        <is>
          <t>♥9 ♠6 ♣5 ♦Q ♦6 ♣2</t>
        </is>
      </c>
    </row>
    <row r="1876">
      <c r="A1876" t="inlineStr">
        <is>
          <t>庄家埋入</t>
        </is>
      </c>
      <c r="B1876" t="inlineStr">
        <is>
          <t>♣6 ♥8 ♠8 ♠9</t>
        </is>
      </c>
      <c r="D1876" t="inlineStr">
        <is>
          <t>♦6 ♣2 ♣6 ♥8 ♠8 ♠9</t>
        </is>
      </c>
      <c r="E1876" t="inlineStr">
        <is>
          <t>分值=0</t>
        </is>
      </c>
    </row>
    <row r="1877">
      <c r="A1877" s="8" t="inlineStr">
        <is>
          <t>📝 操作日志</t>
        </is>
      </c>
    </row>
    <row r="1878">
      <c r="A1878">
        <f>== 第36局 ===</f>
        <v/>
      </c>
    </row>
    <row r="1879">
      <c r="A1879" t="inlineStr">
        <is>
          <t>庄家方级牌=7, 抓分方级牌=7, 庄家=玩家4</t>
        </is>
      </c>
    </row>
    <row r="1880">
      <c r="A1880" t="inlineStr">
        <is>
          <t>庄家阵营: 玩4、玩2 | 抓分阵营: 玩1、玩3</t>
        </is>
      </c>
    </row>
    <row r="1881">
      <c r="A1881" t="inlineStr">
        <is>
          <t>发牌完成 | 底牌: ♥9 ♠6 ♣5 ♦Q ♦6 ♣2</t>
        </is>
      </c>
    </row>
    <row r="1882">
      <c r="A1882" t="inlineStr">
        <is>
          <t>【底牌首张定主】♥9 → 主=红桃</t>
        </is>
      </c>
    </row>
    <row r="1883">
      <c r="A1883" t="inlineStr">
        <is>
          <t>【埋底】庄家（玩4）埋 ♣6 ♥8 ♠8 ♠9, 取回 ♥9 ♠6 ♣5 ♦Q</t>
        </is>
      </c>
    </row>
    <row r="1884">
      <c r="A1884" t="inlineStr">
        <is>
          <t xml:space="preserve">  埋底后底牌: ♦6 ♣2 ♣6 ♥8 ♠8 ♠9 (分值=0)</t>
        </is>
      </c>
    </row>
    <row r="1885">
      <c r="A1885" t="inlineStr">
        <is>
          <t>第1圈 [对子]: 玩4首出 → [玩4:♥2 ♠2 | 玩1:♥3 ♥4 | 玩2:♥7 ♥Q | 玩3:♦3 ♠4] → 赢: 玩4(♠2) 分=0</t>
        </is>
      </c>
    </row>
    <row r="1886">
      <c r="A1886" t="inlineStr">
        <is>
          <t>第2圈 [单张]: 玩4首出 → [玩4:♠6 | 玩1:♠Q | 玩2:♠3 | 玩3:♦7] → 赢: 玩1(♠Q) 分=0</t>
        </is>
      </c>
    </row>
    <row r="1887">
      <c r="A1887" t="inlineStr">
        <is>
          <t>第3圈 [单张]: 玩1首出 → [玩1:♣3 | 玩2:♦4 | 玩3:♣7 | 玩4:♣A] → 赢: 玩4(♣A) 分=0</t>
        </is>
      </c>
    </row>
    <row r="1888">
      <c r="A1888" t="inlineStr">
        <is>
          <t>第4圈 [单张]: 玩4首出 → [玩4:♥9 | 玩1:♥6 | 玩2:♥A | 玩3:♦8] → 赢: 玩2(♥A) 分=0</t>
        </is>
      </c>
    </row>
    <row r="1889">
      <c r="A1889" t="inlineStr">
        <is>
          <t>第5圈 [单张]: 玩2首出 → [玩2:♠7 | 玩3:♣8 | 玩4:♠J | 玩1:♠A] → 赢: 玩1(♠A) 分=0</t>
        </is>
      </c>
    </row>
    <row r="1890">
      <c r="A1890" t="inlineStr">
        <is>
          <t>第6圈 [单张]: 玩1首出 → [玩1:♣4 | 玩2:♦5 | 玩3:♣9 | 玩4:♣5] → 赢: 玩3(♣9) 分=10</t>
        </is>
      </c>
    </row>
    <row r="1891">
      <c r="A1891" t="inlineStr">
        <is>
          <t>第7圈 [单张]: 玩3首出 → [玩3:♣J | 玩4:♥5 | 玩1:♠5 | 玩2:♠10] → 赢: 玩3(♣J) 分=20</t>
        </is>
      </c>
    </row>
    <row r="1892">
      <c r="A1892" t="inlineStr">
        <is>
          <t>第8圈 [单张]: 玩3首出 → [玩3:♣Q | 玩4:♦10 | 玩1:♦9 | 玩2:♦J] → 赢: 玩3(♣Q) 分=10</t>
        </is>
      </c>
    </row>
    <row r="1893">
      <c r="A1893" t="inlineStr">
        <is>
          <t>第9圈 [单张]: 玩3首出 → [玩3:♦2 | 玩4:♦Q | 玩1:♦K | 玩2:♦A] → 赢: 玩3(♦2) 分=10</t>
        </is>
      </c>
    </row>
    <row r="1894">
      <c r="A1894" t="inlineStr">
        <is>
          <t>第10圈 [单张]: 玩3首出 → [玩3:♣10 | 玩4:小王 | 玩1:♥10 | 玩2:♥K] → 赢: 玩4(小王) 分=30</t>
        </is>
      </c>
    </row>
    <row r="1895">
      <c r="A1895" t="inlineStr">
        <is>
          <t>第11圈 [单张]: 玩4首出 → [玩4:大王 | 玩1:♥J | 玩2:♠K | 玩3:♣K] → 赢: 玩4(大王) 分=20</t>
        </is>
      </c>
    </row>
    <row r="1896">
      <c r="A1896" t="inlineStr">
        <is>
          <t>抓分方总分=100</t>
        </is>
      </c>
    </row>
    <row r="1897">
      <c r="A1897" t="inlineStr">
        <is>
          <t>结算: 抓分=100 扣底=否 庄方+0 抓方+6</t>
        </is>
      </c>
    </row>
    <row r="1898">
      <c r="A1898" t="inlineStr">
        <is>
          <t>级牌: 庄方 7→7 | 抓方 7→13</t>
        </is>
      </c>
    </row>
    <row r="1899">
      <c r="A1899" t="inlineStr">
        <is>
          <t>⚠️ 抓分方 13 &gt; 7，强制停在7，获得庄权，需再守庄一局</t>
        </is>
      </c>
    </row>
    <row r="1900">
      <c r="A1900" t="inlineStr">
        <is>
          <t>庄家变更: → 玩1</t>
        </is>
      </c>
    </row>
    <row r="1901">
      <c r="A1901" t="inlineStr">
        <is>
          <t>级牌重置: 庄家方=7 抓分方=7</t>
        </is>
      </c>
    </row>
    <row r="1902">
      <c r="A1902" t="inlineStr">
        <is>
          <t>守庄失败，对方上台继续</t>
        </is>
      </c>
    </row>
    <row r="1903">
      <c r="A1903" t="inlineStr">
        <is>
          <t>第36局结束 | 庄家方=7 抓分方=7</t>
        </is>
      </c>
    </row>
    <row r="1904">
      <c r="A1904" s="8" t="inlineStr">
        <is>
          <t>📊 结算</t>
        </is>
      </c>
    </row>
    <row r="1905">
      <c r="A1905" s="9" t="inlineStr">
        <is>
          <t>抓分方得分</t>
        </is>
      </c>
      <c r="C1905" t="inlineStr">
        <is>
          <t>100</t>
        </is>
      </c>
    </row>
    <row r="1906">
      <c r="A1906" s="9" t="inlineStr">
        <is>
          <t>是否扣底</t>
        </is>
      </c>
      <c r="C1906" t="inlineStr">
        <is>
          <t>否</t>
        </is>
      </c>
    </row>
    <row r="1907">
      <c r="A1907" s="9" t="inlineStr">
        <is>
          <t>扣底牌</t>
        </is>
      </c>
      <c r="C1907" t="inlineStr">
        <is>
          <t>大王</t>
        </is>
      </c>
    </row>
    <row r="1908">
      <c r="A1908" s="9" t="inlineStr">
        <is>
          <t>基础升级 抓方</t>
        </is>
      </c>
      <c r="C1908" t="inlineStr">
        <is>
          <t>+6</t>
        </is>
      </c>
    </row>
    <row r="1909">
      <c r="A1909" s="9" t="inlineStr">
        <is>
          <t>扣底加成</t>
        </is>
      </c>
      <c r="C1909" t="inlineStr">
        <is>
          <t>无</t>
        </is>
      </c>
    </row>
    <row r="1910">
      <c r="A1910" s="9" t="inlineStr">
        <is>
          <t>总升级 抓方</t>
        </is>
      </c>
      <c r="C1910" t="inlineStr">
        <is>
          <t>+6</t>
        </is>
      </c>
    </row>
    <row r="1911">
      <c r="A1911" s="9" t="inlineStr">
        <is>
          <t>总升级 庄方</t>
        </is>
      </c>
      <c r="C1911" t="inlineStr">
        <is>
          <t>+0</t>
        </is>
      </c>
    </row>
    <row r="1912">
      <c r="A1912" s="9" t="inlineStr">
        <is>
          <t>结果</t>
        </is>
      </c>
      <c r="C1912" t="inlineStr">
        <is>
          <t>上台过7（需守庄）</t>
        </is>
      </c>
    </row>
    <row r="1915">
      <c r="A1915" s="6" t="inlineStr">
        <is>
          <t>═══ 第37局 ─ 上台过7（需守庄） ═══</t>
        </is>
      </c>
    </row>
    <row r="1916">
      <c r="A1916" s="7" t="inlineStr">
        <is>
          <t>庄家</t>
        </is>
      </c>
      <c r="C1916" t="inlineStr">
        <is>
          <t>玩家1</t>
        </is>
      </c>
    </row>
    <row r="1917">
      <c r="A1917" s="7" t="inlineStr">
        <is>
          <t>庄家方级牌</t>
        </is>
      </c>
      <c r="C1917" t="inlineStr">
        <is>
          <t>7</t>
        </is>
      </c>
    </row>
    <row r="1918">
      <c r="A1918" s="7" t="inlineStr">
        <is>
          <t>抓分方级牌</t>
        </is>
      </c>
      <c r="C1918" t="inlineStr">
        <is>
          <t>7</t>
        </is>
      </c>
    </row>
    <row r="1919">
      <c r="A1919" s="7" t="inlineStr">
        <is>
          <t>本局级牌</t>
        </is>
      </c>
      <c r="C1919" t="inlineStr">
        <is>
          <t>7</t>
        </is>
      </c>
    </row>
    <row r="1920">
      <c r="A1920" s="7" t="inlineStr">
        <is>
          <t>庄家阵营</t>
        </is>
      </c>
      <c r="C1920" t="inlineStr">
        <is>
          <t>玩家1、玩家3</t>
        </is>
      </c>
    </row>
    <row r="1921">
      <c r="A1921" s="7" t="inlineStr">
        <is>
          <t>抓分阵营</t>
        </is>
      </c>
      <c r="C1921" t="inlineStr">
        <is>
          <t>玩家2、玩家4</t>
        </is>
      </c>
    </row>
    <row r="1922">
      <c r="A1922" s="7" t="inlineStr">
        <is>
          <t>定主方式</t>
        </is>
      </c>
      <c r="C1922" t="inlineStr">
        <is>
          <t>bottom_card</t>
        </is>
      </c>
    </row>
    <row r="1923">
      <c r="A1923" s="7" t="inlineStr">
        <is>
          <t>主花色</t>
        </is>
      </c>
      <c r="C1923" t="inlineStr">
        <is>
          <t>草花</t>
        </is>
      </c>
    </row>
    <row r="1924">
      <c r="A1924" s="8" t="inlineStr">
        <is>
          <t>📋 初始手牌</t>
        </is>
      </c>
    </row>
    <row r="1925">
      <c r="A1925" t="inlineStr">
        <is>
          <t>玩家1</t>
        </is>
      </c>
      <c r="B1925" t="inlineStr">
        <is>
          <t>大王 ♦9 ♣J ♣4 ♦4 ♣10 ♣6 ♦A ♥3 ♠3 ♠5 ♠Q</t>
        </is>
      </c>
    </row>
    <row r="1926">
      <c r="A1926" t="inlineStr">
        <is>
          <t>玩家2</t>
        </is>
      </c>
      <c r="B1926" t="inlineStr">
        <is>
          <t>♣2 ♥7 ♥Q ♥J ♦6 ♦7 ♦2 ♥K ♥A ♠4 ♦10 ♦3</t>
        </is>
      </c>
    </row>
    <row r="1927">
      <c r="A1927" t="inlineStr">
        <is>
          <t>玩家3</t>
        </is>
      </c>
      <c r="B1927" t="inlineStr">
        <is>
          <t>♥5 ♠7 ♠2 ♣9 小王 ♠K ♠9 ♥9 ♣8 ♦J ♣5 ♠8</t>
        </is>
      </c>
    </row>
    <row r="1928">
      <c r="A1928" t="inlineStr">
        <is>
          <t>玩家4</t>
        </is>
      </c>
      <c r="B1928" t="inlineStr">
        <is>
          <t>♥8 ♣A ♣7 ♠A ♠10 ♥6 ♠J ♦Q ♣3 ♣Q ♦8 ♦5</t>
        </is>
      </c>
    </row>
    <row r="1929">
      <c r="A1929" s="8" t="inlineStr">
        <is>
          <t>📦 底牌信息</t>
        </is>
      </c>
    </row>
    <row r="1930">
      <c r="A1930" t="inlineStr">
        <is>
          <t>初始底牌</t>
        </is>
      </c>
      <c r="B1930" t="inlineStr">
        <is>
          <t>♣K ♦K ♠6 ♥4 ♥10 ♥2</t>
        </is>
      </c>
    </row>
    <row r="1931">
      <c r="A1931" t="inlineStr">
        <is>
          <t>庄家埋入</t>
        </is>
      </c>
      <c r="B1931" t="inlineStr">
        <is>
          <t>♠3 ♣4 ♦4</t>
        </is>
      </c>
      <c r="D1931" t="inlineStr">
        <is>
          <t>♥4 ♥10 ♥2 ♠3 ♣4 ♦4</t>
        </is>
      </c>
      <c r="E1931" t="inlineStr">
        <is>
          <t>分值=10</t>
        </is>
      </c>
    </row>
    <row r="1932">
      <c r="A1932" s="8" t="inlineStr">
        <is>
          <t>📝 操作日志</t>
        </is>
      </c>
    </row>
    <row r="1933">
      <c r="A1933">
        <f>== 第37局 ===</f>
        <v/>
      </c>
    </row>
    <row r="1934">
      <c r="A1934" t="inlineStr">
        <is>
          <t>庄家方级牌=7, 抓分方级牌=7, 庄家=玩家1</t>
        </is>
      </c>
    </row>
    <row r="1935">
      <c r="A1935" t="inlineStr">
        <is>
          <t>庄家阵营: 玩1、玩3 | 抓分阵营: 玩2、玩4</t>
        </is>
      </c>
    </row>
    <row r="1936">
      <c r="A1936" t="inlineStr">
        <is>
          <t>发牌完成 | 底牌: ♣K ♦K ♠6 ♥4 ♥10 ♥2</t>
        </is>
      </c>
    </row>
    <row r="1937">
      <c r="A1937" t="inlineStr">
        <is>
          <t>【底牌首张定主】♣K → 主=草花</t>
        </is>
      </c>
    </row>
    <row r="1938">
      <c r="A1938" t="inlineStr">
        <is>
          <t>【埋底】庄家（玩1）埋 ♠3 ♣4 ♦4, 取回 ♣K ♦K ♠6</t>
        </is>
      </c>
    </row>
    <row r="1939">
      <c r="A1939" t="inlineStr">
        <is>
          <t xml:space="preserve">  埋底后底牌: ♥4 ♥10 ♥2 ♠3 ♣4 ♦4 (分值=10)</t>
        </is>
      </c>
    </row>
    <row r="1940">
      <c r="A1940" t="inlineStr">
        <is>
          <t>第1圈 [对子]: 玩1首出 → [玩1:♣6 ♠6 | 玩2:♦3 ♠4 | 玩3:♣5 ♣8 | 玩4:♣3 ♣7] → 赢: 玩3(♣8) 分=5</t>
        </is>
      </c>
    </row>
    <row r="1941">
      <c r="A1941" t="inlineStr">
        <is>
          <t>第2圈 [对子]: 玩3首出 → [玩3:♣9 ♠9 | 玩4:♣Q ♣A | 玩1:♣10 ♣J | 玩2:♣2 ♦2] → 赢: 玩2(♦2) 分=10</t>
        </is>
      </c>
    </row>
    <row r="1942">
      <c r="A1942" t="inlineStr">
        <is>
          <t>第3圈 [对子]: 玩2首出 → [玩2:♥7 ♦7 | 玩3:♥5 ♥9 | 玩4:♥6 ♥8 | 玩1:♥3 大王] → 赢: 玩1(大王) 分=5</t>
        </is>
      </c>
    </row>
    <row r="1943">
      <c r="A1943" t="inlineStr">
        <is>
          <t>第4圈 [单张]: 玩1首出 → [玩1:♦9 | 玩2:♦6 | 玩3:♦J | 玩4:♦8] → 赢: 玩3(♦J) 分=0</t>
        </is>
      </c>
    </row>
    <row r="1944">
      <c r="A1944" t="inlineStr">
        <is>
          <t>第5圈 [单张]: 玩3首出 → [玩3:♠7 | 玩4:♠J | 玩1:♠Q | 玩2:♦10] → 赢: 玩1(♠Q) 分=10</t>
        </is>
      </c>
    </row>
    <row r="1945">
      <c r="A1945" t="inlineStr">
        <is>
          <t>第6圈 [单张]: 玩1首出 → [玩1:♦A | 玩2:♥J | 玩3:♠8 | 玩4:♦Q] → 赢: 玩1(♦A) 分=0</t>
        </is>
      </c>
    </row>
    <row r="1946">
      <c r="A1946" t="inlineStr">
        <is>
          <t>第7圈 [单张]: 玩1首出 → [玩1:♠5 | 玩2:♥Q | 玩3:♠K | 玩4:♠A] → 赢: 玩4(♠A) 分=15</t>
        </is>
      </c>
    </row>
    <row r="1947">
      <c r="A1947" t="inlineStr">
        <is>
          <t>第8圈 [单张]: 玩4首出 → [玩4:♦5 | 玩1:♦K | 玩2:♥K | 玩3:♠2] → 赢: 玩3(♠2) 分=25</t>
        </is>
      </c>
    </row>
    <row r="1948">
      <c r="A1948" t="inlineStr">
        <is>
          <t>第9圈 [单张]: 玩3首出 → [玩3:小王 | 玩4:♠10 | 玩1:♣K | 玩2:♥A] → 赢: 玩3(小王) 分=20</t>
        </is>
      </c>
    </row>
    <row r="1949">
      <c r="A1949" t="inlineStr">
        <is>
          <t>抓分方总分=90</t>
        </is>
      </c>
    </row>
    <row r="1950">
      <c r="A1950" t="inlineStr">
        <is>
          <t>结算: 抓分=90 扣底=否 庄方+0 抓方+6</t>
        </is>
      </c>
    </row>
    <row r="1951">
      <c r="A1951" t="inlineStr">
        <is>
          <t>级牌: 庄方 7→7 | 抓方 7→13</t>
        </is>
      </c>
    </row>
    <row r="1952">
      <c r="A1952" t="inlineStr">
        <is>
          <t>⚠️ 抓分方 13 &gt; 7，强制停在7，获得庄权，需再守庄一局</t>
        </is>
      </c>
    </row>
    <row r="1953">
      <c r="A1953" t="inlineStr">
        <is>
          <t>庄家变更: → 玩2</t>
        </is>
      </c>
    </row>
    <row r="1954">
      <c r="A1954" t="inlineStr">
        <is>
          <t>级牌重置: 庄家方=7 抓分方=7</t>
        </is>
      </c>
    </row>
    <row r="1955">
      <c r="A1955" t="inlineStr">
        <is>
          <t>守庄失败，对方上台继续</t>
        </is>
      </c>
    </row>
    <row r="1956">
      <c r="A1956" t="inlineStr">
        <is>
          <t>第37局结束 | 庄家方=7 抓分方=7</t>
        </is>
      </c>
    </row>
    <row r="1957">
      <c r="A1957" s="8" t="inlineStr">
        <is>
          <t>📊 结算</t>
        </is>
      </c>
    </row>
    <row r="1958">
      <c r="A1958" s="9" t="inlineStr">
        <is>
          <t>抓分方得分</t>
        </is>
      </c>
      <c r="C1958" t="inlineStr">
        <is>
          <t>90</t>
        </is>
      </c>
    </row>
    <row r="1959">
      <c r="A1959" s="9" t="inlineStr">
        <is>
          <t>是否扣底</t>
        </is>
      </c>
      <c r="C1959" t="inlineStr">
        <is>
          <t>否</t>
        </is>
      </c>
    </row>
    <row r="1960">
      <c r="A1960" s="9" t="inlineStr">
        <is>
          <t>扣底牌</t>
        </is>
      </c>
      <c r="C1960" t="inlineStr">
        <is>
          <t>小王</t>
        </is>
      </c>
    </row>
    <row r="1961">
      <c r="A1961" s="9" t="inlineStr">
        <is>
          <t>基础升级 抓方</t>
        </is>
      </c>
      <c r="C1961" t="inlineStr">
        <is>
          <t>+6</t>
        </is>
      </c>
    </row>
    <row r="1962">
      <c r="A1962" s="9" t="inlineStr">
        <is>
          <t>扣底加成</t>
        </is>
      </c>
      <c r="C1962" t="inlineStr">
        <is>
          <t>无</t>
        </is>
      </c>
    </row>
    <row r="1963">
      <c r="A1963" s="9" t="inlineStr">
        <is>
          <t>总升级 抓方</t>
        </is>
      </c>
      <c r="C1963" t="inlineStr">
        <is>
          <t>+6</t>
        </is>
      </c>
    </row>
    <row r="1964">
      <c r="A1964" s="9" t="inlineStr">
        <is>
          <t>总升级 庄方</t>
        </is>
      </c>
      <c r="C1964" t="inlineStr">
        <is>
          <t>+0</t>
        </is>
      </c>
    </row>
    <row r="1965">
      <c r="A1965" s="9" t="inlineStr">
        <is>
          <t>结果</t>
        </is>
      </c>
      <c r="C1965" t="inlineStr">
        <is>
          <t>上台过7（需守庄）</t>
        </is>
      </c>
    </row>
    <row r="1968">
      <c r="A1968" s="6" t="inlineStr">
        <is>
          <t>═══ 第38局 ─ 上台过7（需守庄） ═══</t>
        </is>
      </c>
    </row>
    <row r="1969">
      <c r="A1969" s="7" t="inlineStr">
        <is>
          <t>庄家</t>
        </is>
      </c>
      <c r="C1969" t="inlineStr">
        <is>
          <t>玩家2</t>
        </is>
      </c>
    </row>
    <row r="1970">
      <c r="A1970" s="7" t="inlineStr">
        <is>
          <t>庄家方级牌</t>
        </is>
      </c>
      <c r="C1970" t="inlineStr">
        <is>
          <t>7</t>
        </is>
      </c>
    </row>
    <row r="1971">
      <c r="A1971" s="7" t="inlineStr">
        <is>
          <t>抓分方级牌</t>
        </is>
      </c>
      <c r="C1971" t="inlineStr">
        <is>
          <t>7</t>
        </is>
      </c>
    </row>
    <row r="1972">
      <c r="A1972" s="7" t="inlineStr">
        <is>
          <t>本局级牌</t>
        </is>
      </c>
      <c r="C1972" t="inlineStr">
        <is>
          <t>7</t>
        </is>
      </c>
    </row>
    <row r="1973">
      <c r="A1973" s="7" t="inlineStr">
        <is>
          <t>庄家阵营</t>
        </is>
      </c>
      <c r="C1973" t="inlineStr">
        <is>
          <t>玩家2、玩家4</t>
        </is>
      </c>
    </row>
    <row r="1974">
      <c r="A1974" s="7" t="inlineStr">
        <is>
          <t>抓分阵营</t>
        </is>
      </c>
      <c r="C1974" t="inlineStr">
        <is>
          <t>玩家3、玩家1</t>
        </is>
      </c>
    </row>
    <row r="1975">
      <c r="A1975" s="7" t="inlineStr">
        <is>
          <t>定主方式</t>
        </is>
      </c>
      <c r="C1975" t="inlineStr">
        <is>
          <t>bottom_card</t>
        </is>
      </c>
    </row>
    <row r="1976">
      <c r="A1976" s="7" t="inlineStr">
        <is>
          <t>主花色</t>
        </is>
      </c>
      <c r="C1976" t="inlineStr">
        <is>
          <t>黑桃</t>
        </is>
      </c>
    </row>
    <row r="1977">
      <c r="A1977" s="8" t="inlineStr">
        <is>
          <t>📋 初始手牌</t>
        </is>
      </c>
    </row>
    <row r="1978">
      <c r="A1978" t="inlineStr">
        <is>
          <t>玩家1</t>
        </is>
      </c>
      <c r="B1978" t="inlineStr">
        <is>
          <t>♥A ♣7 ♦2 ♣6 ♣J ♣K ♠J ♠2 ♣4 ♠7 ♥Q ♣9</t>
        </is>
      </c>
    </row>
    <row r="1979">
      <c r="A1979" t="inlineStr">
        <is>
          <t>玩家2</t>
        </is>
      </c>
      <c r="B1979" t="inlineStr">
        <is>
          <t>♠8 ♣A ♦Q ♦J ♦8 ♦10 ♦4 大王 ♣10 ♥J ♠10 ♥6</t>
        </is>
      </c>
    </row>
    <row r="1980">
      <c r="A1980" t="inlineStr">
        <is>
          <t>玩家3</t>
        </is>
      </c>
      <c r="B1980" t="inlineStr">
        <is>
          <t>♦K ♥7 ♥8 ♣3 ♠6 ♦5 ♥5 ♣5 ♥4 ♥9 ♣2 ♥2</t>
        </is>
      </c>
    </row>
    <row r="1981">
      <c r="A1981" t="inlineStr">
        <is>
          <t>玩家4</t>
        </is>
      </c>
      <c r="B1981" t="inlineStr">
        <is>
          <t>♣Q ♠K 小王 ♦9 ♥10 ♥K ♥3 ♦6 ♣8 ♠A ♠4 ♦A</t>
        </is>
      </c>
    </row>
    <row r="1982">
      <c r="A1982" s="8" t="inlineStr">
        <is>
          <t>📦 底牌信息</t>
        </is>
      </c>
    </row>
    <row r="1983">
      <c r="A1983" t="inlineStr">
        <is>
          <t>初始底牌</t>
        </is>
      </c>
      <c r="B1983" t="inlineStr">
        <is>
          <t>♠Q ♠5 ♠9 ♦3 ♠3 ♦7</t>
        </is>
      </c>
    </row>
    <row r="1984">
      <c r="A1984" t="inlineStr">
        <is>
          <t>庄家埋入</t>
        </is>
      </c>
      <c r="B1984" t="inlineStr">
        <is>
          <t>♦4 ♥6</t>
        </is>
      </c>
      <c r="D1984" t="inlineStr">
        <is>
          <t>♠9 ♦3 ♠3 ♦7 ♦4 ♥6</t>
        </is>
      </c>
      <c r="E1984" t="inlineStr">
        <is>
          <t>分值=0</t>
        </is>
      </c>
    </row>
    <row r="1985">
      <c r="A1985" s="8" t="inlineStr">
        <is>
          <t>📝 操作日志</t>
        </is>
      </c>
    </row>
    <row r="1986">
      <c r="A1986">
        <f>== 第38局 ===</f>
        <v/>
      </c>
    </row>
    <row r="1987">
      <c r="A1987" t="inlineStr">
        <is>
          <t>庄家方级牌=7, 抓分方级牌=7, 庄家=玩家2</t>
        </is>
      </c>
    </row>
    <row r="1988">
      <c r="A1988" t="inlineStr">
        <is>
          <t>庄家阵营: 玩2、玩4 | 抓分阵营: 玩3、玩1</t>
        </is>
      </c>
    </row>
    <row r="1989">
      <c r="A1989" t="inlineStr">
        <is>
          <t>发牌完成 | 底牌: ♠Q ♠5 ♠9 ♦3 ♠3 ♦7</t>
        </is>
      </c>
    </row>
    <row r="1990">
      <c r="A1990" t="inlineStr">
        <is>
          <t>【底牌首张定主】♠Q → 主=黑桃</t>
        </is>
      </c>
    </row>
    <row r="1991">
      <c r="A1991" t="inlineStr">
        <is>
          <t>【埋底】庄家（玩2）埋 ♦4 ♥6, 取回 ♠Q ♠5</t>
        </is>
      </c>
    </row>
    <row r="1992">
      <c r="A1992" t="inlineStr">
        <is>
          <t xml:space="preserve">  埋底后底牌: ♠9 ♦3 ♠3 ♦7 ♦4 ♥6 (分值=0)</t>
        </is>
      </c>
    </row>
    <row r="1993">
      <c r="A1993" t="inlineStr">
        <is>
          <t>第1圈 [对子]: 玩2首出 → [玩2:♦J ♥J | 玩3:♦5 ♦K | 玩4:♦6 ♦9 | 玩1:♦2 ♠2] → 赢: 玩1(♠2) 分=15</t>
        </is>
      </c>
    </row>
    <row r="1994">
      <c r="A1994" t="inlineStr">
        <is>
          <t>第2圈 [对子]: 玩1首出 → [玩1:♣7 ♠7 | 玩2:♣10 ♣A | 玩3:♣2 ♣3 | 玩4:♣8 ♣Q] → 赢: 玩3(♣2) 分=10</t>
        </is>
      </c>
    </row>
    <row r="1995">
      <c r="A1995" t="inlineStr">
        <is>
          <t>第3圈 [单张]: 玩3首出 → [玩3:♥4 | 玩4:♥3 | 玩1:♥Q | 玩2:♠5] → 赢: 玩4(♥3) 分=5</t>
        </is>
      </c>
    </row>
    <row r="1996">
      <c r="A1996" t="inlineStr">
        <is>
          <t>第4圈 [对子]: 玩4首出 → [玩4:♠A ♦A | 玩1:♣4 ♣6 | 玩2:♠8 ♠10 | 玩3:♥2] → 赢: 玩3(♥2) 分=10</t>
        </is>
      </c>
    </row>
    <row r="1997">
      <c r="A1997" t="inlineStr">
        <is>
          <t>第5圈 [单张]: 玩3首出 → [玩3:♠6 | 玩4:♠4 | 玩1:♠J | 玩2:♠Q] → 赢: 玩2(♠Q) 分=0</t>
        </is>
      </c>
    </row>
    <row r="1998">
      <c r="A1998" t="inlineStr">
        <is>
          <t>第6圈 [单张]: 玩2首出 → [玩2:♦8 | 玩3:♥5 | 玩4:小王 | 玩1:♣9] → 赢: 玩4(小王) 分=5</t>
        </is>
      </c>
    </row>
    <row r="1999">
      <c r="A1999" t="inlineStr">
        <is>
          <t>第7圈 [单张]: 玩4首出 → [玩4:♥10 | 玩1:♥A | 玩2:大王 | 玩3:♥7] → 赢: 玩2(大王) 分=10</t>
        </is>
      </c>
    </row>
    <row r="2000">
      <c r="A2000" t="inlineStr">
        <is>
          <t>第8圈 [单张]: 玩2首出 → [玩2:♦Q | 玩3:♣5 | 玩4:♠K | 玩1:♣J] → 赢: 玩2(♦Q) 分=15</t>
        </is>
      </c>
    </row>
    <row r="2001">
      <c r="A2001" t="inlineStr">
        <is>
          <t>第9圈 [单张]: 玩2首出 → [玩2:♦10 | 玩3:♥8 | 玩4:♥K | 玩1:♣K] → 赢: 玩2(♦10) 分=30</t>
        </is>
      </c>
    </row>
    <row r="2002">
      <c r="A2002" t="inlineStr">
        <is>
          <t>第10圈 [单张]: 玩2首出 → [玩2:无 | 玩3:♥9 | 玩4:无 | 玩1:无] → 赢: 玩3(♥9) 分=0</t>
        </is>
      </c>
    </row>
    <row r="2003">
      <c r="A2003" t="inlineStr">
        <is>
          <t>抓分方总分=100</t>
        </is>
      </c>
    </row>
    <row r="2004">
      <c r="A2004" t="inlineStr">
        <is>
          <t>结算: 抓分=100 扣底=是 庄方+0 抓方+9</t>
        </is>
      </c>
    </row>
    <row r="2005">
      <c r="A2005" t="inlineStr">
        <is>
          <t>级牌: 庄方 7→7 | 抓方 7→16</t>
        </is>
      </c>
    </row>
    <row r="2006">
      <c r="A2006" t="inlineStr">
        <is>
          <t>⚠️ 抓分方 16 &gt; 7，强制停在7，获得庄权，需再守庄一局</t>
        </is>
      </c>
    </row>
    <row r="2007">
      <c r="A2007" t="inlineStr">
        <is>
          <t>庄家变更: → 玩3</t>
        </is>
      </c>
    </row>
    <row r="2008">
      <c r="A2008" t="inlineStr">
        <is>
          <t>级牌重置: 庄家方=7 抓分方=7</t>
        </is>
      </c>
    </row>
    <row r="2009">
      <c r="A2009" t="inlineStr">
        <is>
          <t>守庄失败，对方上台继续</t>
        </is>
      </c>
    </row>
    <row r="2010">
      <c r="A2010" t="inlineStr">
        <is>
          <t>第38局结束 | 庄家方=7 抓分方=7</t>
        </is>
      </c>
    </row>
    <row r="2011">
      <c r="A2011" s="8" t="inlineStr">
        <is>
          <t>📊 结算</t>
        </is>
      </c>
    </row>
    <row r="2012">
      <c r="A2012" s="9" t="inlineStr">
        <is>
          <t>抓分方得分</t>
        </is>
      </c>
      <c r="C2012" t="inlineStr">
        <is>
          <t>100</t>
        </is>
      </c>
    </row>
    <row r="2013">
      <c r="A2013" s="9" t="inlineStr">
        <is>
          <t>是否扣底</t>
        </is>
      </c>
      <c r="C2013" t="inlineStr">
        <is>
          <t>是</t>
        </is>
      </c>
    </row>
    <row r="2014">
      <c r="A2014" s="9" t="inlineStr">
        <is>
          <t>扣底牌</t>
        </is>
      </c>
      <c r="C2014" t="inlineStr">
        <is>
          <t>♥9</t>
        </is>
      </c>
    </row>
    <row r="2015">
      <c r="A2015" s="9" t="inlineStr">
        <is>
          <t>基础升级 抓方</t>
        </is>
      </c>
      <c r="C2015" t="inlineStr">
        <is>
          <t>+6</t>
        </is>
      </c>
    </row>
    <row r="2016">
      <c r="A2016" s="9" t="inlineStr">
        <is>
          <t>扣底加成</t>
        </is>
      </c>
      <c r="C2016" t="inlineStr">
        <is>
          <t>+3</t>
        </is>
      </c>
    </row>
    <row r="2017">
      <c r="A2017" s="9" t="inlineStr">
        <is>
          <t>总升级 抓方</t>
        </is>
      </c>
      <c r="C2017" t="inlineStr">
        <is>
          <t>+9</t>
        </is>
      </c>
    </row>
    <row r="2018">
      <c r="A2018" s="9" t="inlineStr">
        <is>
          <t>总升级 庄方</t>
        </is>
      </c>
      <c r="C2018" t="inlineStr">
        <is>
          <t>+0</t>
        </is>
      </c>
    </row>
    <row r="2019">
      <c r="A2019" s="9" t="inlineStr">
        <is>
          <t>结果</t>
        </is>
      </c>
      <c r="C2019" t="inlineStr">
        <is>
          <t>上台过7（需守庄）</t>
        </is>
      </c>
    </row>
    <row r="2022">
      <c r="A2022" s="6" t="inlineStr">
        <is>
          <t>═══ 第39局 ─ 上台过7（需守庄） ═══</t>
        </is>
      </c>
    </row>
    <row r="2023">
      <c r="A2023" s="7" t="inlineStr">
        <is>
          <t>庄家</t>
        </is>
      </c>
      <c r="C2023" t="inlineStr">
        <is>
          <t>玩家3</t>
        </is>
      </c>
    </row>
    <row r="2024">
      <c r="A2024" s="7" t="inlineStr">
        <is>
          <t>庄家方级牌</t>
        </is>
      </c>
      <c r="C2024" t="inlineStr">
        <is>
          <t>7</t>
        </is>
      </c>
    </row>
    <row r="2025">
      <c r="A2025" s="7" t="inlineStr">
        <is>
          <t>抓分方级牌</t>
        </is>
      </c>
      <c r="C2025" t="inlineStr">
        <is>
          <t>7</t>
        </is>
      </c>
    </row>
    <row r="2026">
      <c r="A2026" s="7" t="inlineStr">
        <is>
          <t>本局级牌</t>
        </is>
      </c>
      <c r="C2026" t="inlineStr">
        <is>
          <t>7</t>
        </is>
      </c>
    </row>
    <row r="2027">
      <c r="A2027" s="7" t="inlineStr">
        <is>
          <t>庄家阵营</t>
        </is>
      </c>
      <c r="C2027" t="inlineStr">
        <is>
          <t>玩家3、玩家1</t>
        </is>
      </c>
    </row>
    <row r="2028">
      <c r="A2028" s="7" t="inlineStr">
        <is>
          <t>抓分阵营</t>
        </is>
      </c>
      <c r="C2028" t="inlineStr">
        <is>
          <t>玩家4、玩家2</t>
        </is>
      </c>
    </row>
    <row r="2029">
      <c r="A2029" s="7" t="inlineStr">
        <is>
          <t>定主方式</t>
        </is>
      </c>
      <c r="C2029" t="inlineStr">
        <is>
          <t>bottom_card</t>
        </is>
      </c>
    </row>
    <row r="2030">
      <c r="A2030" s="7" t="inlineStr">
        <is>
          <t>主花色</t>
        </is>
      </c>
      <c r="C2030" t="inlineStr">
        <is>
          <t>草花</t>
        </is>
      </c>
    </row>
    <row r="2031">
      <c r="A2031" s="8" t="inlineStr">
        <is>
          <t>📋 初始手牌</t>
        </is>
      </c>
    </row>
    <row r="2032">
      <c r="A2032" t="inlineStr">
        <is>
          <t>玩家1</t>
        </is>
      </c>
      <c r="B2032" t="inlineStr">
        <is>
          <t>♦9 ♥Q ♦2 ♠9 ♣10 ♠8 ♦J ♠A ♦10 ♣5 ♣9 ♦4</t>
        </is>
      </c>
    </row>
    <row r="2033">
      <c r="A2033" t="inlineStr">
        <is>
          <t>玩家2</t>
        </is>
      </c>
      <c r="B2033" t="inlineStr">
        <is>
          <t>♦A ♥4 ♣Q ♥10 ♥A ♠K ♠3 ♠4 ♣J ♥7 ♠J ♦Q</t>
        </is>
      </c>
    </row>
    <row r="2034">
      <c r="A2034" t="inlineStr">
        <is>
          <t>玩家3</t>
        </is>
      </c>
      <c r="B2034" t="inlineStr">
        <is>
          <t>♦K 大王 ♦5 ♥3 ♠2 ♣8 ♣2 小王 ♥K ♦7 ♦8 ♣4</t>
        </is>
      </c>
    </row>
    <row r="2035">
      <c r="A2035" t="inlineStr">
        <is>
          <t>玩家4</t>
        </is>
      </c>
      <c r="B2035" t="inlineStr">
        <is>
          <t>♣7 ♣K ♠Q ♠7 ♠10 ♥J ♥6 ♥9 ♥2 ♥5 ♦3 ♦6</t>
        </is>
      </c>
    </row>
    <row r="2036">
      <c r="A2036" s="8" t="inlineStr">
        <is>
          <t>📦 底牌信息</t>
        </is>
      </c>
    </row>
    <row r="2037">
      <c r="A2037" t="inlineStr">
        <is>
          <t>初始底牌</t>
        </is>
      </c>
      <c r="B2037" t="inlineStr">
        <is>
          <t>♣A ♣6 ♠5 ♥8 ♠6 ♣3</t>
        </is>
      </c>
    </row>
    <row r="2038">
      <c r="A2038" t="inlineStr">
        <is>
          <t>庄家埋入</t>
        </is>
      </c>
      <c r="B2038" t="inlineStr">
        <is>
          <t>♣4 ♦7</t>
        </is>
      </c>
      <c r="D2038" t="inlineStr">
        <is>
          <t>♠5 ♥8 ♠6 ♣3 ♣4 ♦7</t>
        </is>
      </c>
      <c r="E2038" t="inlineStr">
        <is>
          <t>分值=5</t>
        </is>
      </c>
    </row>
    <row r="2039">
      <c r="A2039" s="8" t="inlineStr">
        <is>
          <t>📝 操作日志</t>
        </is>
      </c>
    </row>
    <row r="2040">
      <c r="A2040">
        <f>== 第39局 ===</f>
        <v/>
      </c>
    </row>
    <row r="2041">
      <c r="A2041" t="inlineStr">
        <is>
          <t>庄家方级牌=7, 抓分方级牌=7, 庄家=玩家3</t>
        </is>
      </c>
    </row>
    <row r="2042">
      <c r="A2042" t="inlineStr">
        <is>
          <t>庄家阵营: 玩3、玩1 | 抓分阵营: 玩4、玩2</t>
        </is>
      </c>
    </row>
    <row r="2043">
      <c r="A2043" t="inlineStr">
        <is>
          <t>发牌完成 | 底牌: ♣A ♣6 ♠5 ♥8 ♠6 ♣3</t>
        </is>
      </c>
    </row>
    <row r="2044">
      <c r="A2044" t="inlineStr">
        <is>
          <t>【底牌首张定主】♣A → 主=草花</t>
        </is>
      </c>
    </row>
    <row r="2045">
      <c r="A2045" t="inlineStr">
        <is>
          <t>【埋底】庄家（玩3）埋 ♣4 ♦7, 取回 ♣A ♣6</t>
        </is>
      </c>
    </row>
    <row r="2046">
      <c r="A2046" t="inlineStr">
        <is>
          <t xml:space="preserve">  埋底后底牌: ♠5 ♥8 ♠6 ♣3 ♣4 ♦7 (分值=5)</t>
        </is>
      </c>
    </row>
    <row r="2047">
      <c r="A2047" t="inlineStr">
        <is>
          <t>第1圈 [对子]: 玩3首出 → [玩3:♠2 ♣2 | 玩4:♠7 ♠10 | 玩1:♠8 ♠9 | 玩2:♠3 ♠4] → 赢: 玩3(♣2) 分=10</t>
        </is>
      </c>
    </row>
    <row r="2048">
      <c r="A2048" t="inlineStr">
        <is>
          <t>第2圈 [对子]: 玩3首出 → [玩3:♣8 ♦8 | 玩4:♣7 ♣K | 玩1:♣5 ♣9 | 玩2:♣J ♣Q] → 赢: 玩4(♣K) 分=15</t>
        </is>
      </c>
    </row>
    <row r="2049">
      <c r="A2049" t="inlineStr">
        <is>
          <t>第3圈 [对子]: 玩4首出 → [玩4:♥6 ♦6 | 玩1:♦4 ♦9 | 玩2:♥4 ♥7 | 玩3:♥3 ♥K] → 赢: 玩3(♥3) 分=10</t>
        </is>
      </c>
    </row>
    <row r="2050">
      <c r="A2050" t="inlineStr">
        <is>
          <t>第4圈 [单张]: 玩3首出 → [玩3:♣6 | 玩4:♦3 | 玩1:♣10 | 玩2:♥10] → 赢: 玩1(♣10) 分=20</t>
        </is>
      </c>
    </row>
    <row r="2051">
      <c r="A2051" t="inlineStr">
        <is>
          <t>第5圈 [单张]: 玩1首出 → [玩1:♦J | 玩2:♦Q | 玩3:♦5 | 玩4:♥2] → 赢: 玩4(♥2) 分=5</t>
        </is>
      </c>
    </row>
    <row r="2052">
      <c r="A2052" t="inlineStr">
        <is>
          <t>第6圈 [单张]: 玩4首出 → [玩4:♥9 | 玩1:♥Q | 玩2:♥A | 玩3:♦K] → 赢: 玩2(♥A) 分=10</t>
        </is>
      </c>
    </row>
    <row r="2053">
      <c r="A2053" t="inlineStr">
        <is>
          <t>第7圈 [单张]: 玩2首出 → [玩2:♠J | 玩3:♣A | 玩4:♠Q | 玩1:♠A] → 赢: 玩1(♠A) 分=0</t>
        </is>
      </c>
    </row>
    <row r="2054">
      <c r="A2054" t="inlineStr">
        <is>
          <t>第8圈 [单张]: 玩1首出 → [玩1:♦2 | 玩2:♦A | 玩3:大王 | 玩4:♥5] → 赢: 玩3(大王) 分=5</t>
        </is>
      </c>
    </row>
    <row r="2055">
      <c r="A2055" t="inlineStr">
        <is>
          <t>第9圈 [单张]: 玩3首出 → [玩3:小王 | 玩4:♥J | 玩1:♦10 | 玩2:♠K] → 赢: 玩3(小王) 分=20</t>
        </is>
      </c>
    </row>
    <row r="2056">
      <c r="A2056" t="inlineStr">
        <is>
          <t>抓分方总分=95</t>
        </is>
      </c>
    </row>
    <row r="2057">
      <c r="A2057" t="inlineStr">
        <is>
          <t>结算: 抓分=95 扣底=否 庄方+0 抓方+6</t>
        </is>
      </c>
    </row>
    <row r="2058">
      <c r="A2058" t="inlineStr">
        <is>
          <t>级牌: 庄方 7→7 | 抓方 7→13</t>
        </is>
      </c>
    </row>
    <row r="2059">
      <c r="A2059" t="inlineStr">
        <is>
          <t>⚠️ 抓分方 13 &gt; 7，强制停在7，获得庄权，需再守庄一局</t>
        </is>
      </c>
    </row>
    <row r="2060">
      <c r="A2060" t="inlineStr">
        <is>
          <t>庄家变更: → 玩4</t>
        </is>
      </c>
    </row>
    <row r="2061">
      <c r="A2061" t="inlineStr">
        <is>
          <t>级牌重置: 庄家方=7 抓分方=7</t>
        </is>
      </c>
    </row>
    <row r="2062">
      <c r="A2062" t="inlineStr">
        <is>
          <t>守庄失败，对方上台继续</t>
        </is>
      </c>
    </row>
    <row r="2063">
      <c r="A2063" t="inlineStr">
        <is>
          <t>第39局结束 | 庄家方=7 抓分方=7</t>
        </is>
      </c>
    </row>
    <row r="2064">
      <c r="A2064" s="8" t="inlineStr">
        <is>
          <t>📊 结算</t>
        </is>
      </c>
    </row>
    <row r="2065">
      <c r="A2065" s="9" t="inlineStr">
        <is>
          <t>抓分方得分</t>
        </is>
      </c>
      <c r="C2065" t="inlineStr">
        <is>
          <t>95</t>
        </is>
      </c>
    </row>
    <row r="2066">
      <c r="A2066" s="9" t="inlineStr">
        <is>
          <t>是否扣底</t>
        </is>
      </c>
      <c r="C2066" t="inlineStr">
        <is>
          <t>否</t>
        </is>
      </c>
    </row>
    <row r="2067">
      <c r="A2067" s="9" t="inlineStr">
        <is>
          <t>扣底牌</t>
        </is>
      </c>
      <c r="C2067" t="inlineStr">
        <is>
          <t>小王</t>
        </is>
      </c>
    </row>
    <row r="2068">
      <c r="A2068" s="9" t="inlineStr">
        <is>
          <t>基础升级 抓方</t>
        </is>
      </c>
      <c r="C2068" t="inlineStr">
        <is>
          <t>+6</t>
        </is>
      </c>
    </row>
    <row r="2069">
      <c r="A2069" s="9" t="inlineStr">
        <is>
          <t>扣底加成</t>
        </is>
      </c>
      <c r="C2069" t="inlineStr">
        <is>
          <t>无</t>
        </is>
      </c>
    </row>
    <row r="2070">
      <c r="A2070" s="9" t="inlineStr">
        <is>
          <t>总升级 抓方</t>
        </is>
      </c>
      <c r="C2070" t="inlineStr">
        <is>
          <t>+6</t>
        </is>
      </c>
    </row>
    <row r="2071">
      <c r="A2071" s="9" t="inlineStr">
        <is>
          <t>总升级 庄方</t>
        </is>
      </c>
      <c r="C2071" t="inlineStr">
        <is>
          <t>+0</t>
        </is>
      </c>
    </row>
    <row r="2072">
      <c r="A2072" s="9" t="inlineStr">
        <is>
          <t>结果</t>
        </is>
      </c>
      <c r="C2072" t="inlineStr">
        <is>
          <t>上台过7（需守庄）</t>
        </is>
      </c>
    </row>
    <row r="2075">
      <c r="A2075" s="6" t="inlineStr">
        <is>
          <t>═══ 第40局 ─ 上台过7（需守庄） ═══</t>
        </is>
      </c>
    </row>
    <row r="2076">
      <c r="A2076" s="7" t="inlineStr">
        <is>
          <t>庄家</t>
        </is>
      </c>
      <c r="C2076" t="inlineStr">
        <is>
          <t>玩家4</t>
        </is>
      </c>
    </row>
    <row r="2077">
      <c r="A2077" s="7" t="inlineStr">
        <is>
          <t>庄家方级牌</t>
        </is>
      </c>
      <c r="C2077" t="inlineStr">
        <is>
          <t>7</t>
        </is>
      </c>
    </row>
    <row r="2078">
      <c r="A2078" s="7" t="inlineStr">
        <is>
          <t>抓分方级牌</t>
        </is>
      </c>
      <c r="C2078" t="inlineStr">
        <is>
          <t>7</t>
        </is>
      </c>
    </row>
    <row r="2079">
      <c r="A2079" s="7" t="inlineStr">
        <is>
          <t>本局级牌</t>
        </is>
      </c>
      <c r="C2079" t="inlineStr">
        <is>
          <t>7</t>
        </is>
      </c>
    </row>
    <row r="2080">
      <c r="A2080" s="7" t="inlineStr">
        <is>
          <t>庄家阵营</t>
        </is>
      </c>
      <c r="C2080" t="inlineStr">
        <is>
          <t>玩家4、玩家2</t>
        </is>
      </c>
    </row>
    <row r="2081">
      <c r="A2081" s="7" t="inlineStr">
        <is>
          <t>抓分阵营</t>
        </is>
      </c>
      <c r="C2081" t="inlineStr">
        <is>
          <t>玩家1、玩家3</t>
        </is>
      </c>
    </row>
    <row r="2082">
      <c r="A2082" s="7" t="inlineStr">
        <is>
          <t>定主方式</t>
        </is>
      </c>
      <c r="C2082" t="inlineStr">
        <is>
          <t>bottom_card</t>
        </is>
      </c>
    </row>
    <row r="2083">
      <c r="A2083" s="7" t="inlineStr">
        <is>
          <t>主花色</t>
        </is>
      </c>
      <c r="C2083" t="inlineStr">
        <is>
          <t>红桃</t>
        </is>
      </c>
    </row>
    <row r="2084">
      <c r="A2084" s="8" t="inlineStr">
        <is>
          <t>📋 初始手牌</t>
        </is>
      </c>
    </row>
    <row r="2085">
      <c r="A2085" t="inlineStr">
        <is>
          <t>玩家1</t>
        </is>
      </c>
      <c r="B2085" t="inlineStr">
        <is>
          <t>♦5 ♦J ♦9 ♣7 ♠2 ♥7 ♣4 ♠J ♦7 ♣10 ♦3 ♥6</t>
        </is>
      </c>
    </row>
    <row r="2086">
      <c r="A2086" t="inlineStr">
        <is>
          <t>玩家2</t>
        </is>
      </c>
      <c r="B2086" t="inlineStr">
        <is>
          <t>♠3 ♦K ♥A ♦6 ♣J ♦4 ♦8 ♣3 ♣K ♠A ♠5 ♠6</t>
        </is>
      </c>
    </row>
    <row r="2087">
      <c r="A2087" t="inlineStr">
        <is>
          <t>玩家3</t>
        </is>
      </c>
      <c r="B2087" t="inlineStr">
        <is>
          <t>♣A ♠K ♠Q ♣2 ♣9 ♥2 ♠4 ♥K ♦10 ♣5 ♥J 小王</t>
        </is>
      </c>
    </row>
    <row r="2088">
      <c r="A2088" t="inlineStr">
        <is>
          <t>玩家4</t>
        </is>
      </c>
      <c r="B2088" t="inlineStr">
        <is>
          <t>♦2 ♥9 ♥10 大王 ♠9 ♥Q ♠10 ♠7 ♥3 ♣8 ♦Q ♠8</t>
        </is>
      </c>
    </row>
    <row r="2089">
      <c r="A2089" s="8" t="inlineStr">
        <is>
          <t>📦 底牌信息</t>
        </is>
      </c>
    </row>
    <row r="2090">
      <c r="A2090" t="inlineStr">
        <is>
          <t>初始底牌</t>
        </is>
      </c>
      <c r="B2090" t="inlineStr">
        <is>
          <t>♥8 ♥5 ♣Q ♣6 ♦A ♥4</t>
        </is>
      </c>
    </row>
    <row r="2091">
      <c r="A2091" t="inlineStr">
        <is>
          <t>庄家埋入</t>
        </is>
      </c>
      <c r="B2091" t="inlineStr">
        <is>
          <t>♠7 ♣8</t>
        </is>
      </c>
      <c r="D2091" t="inlineStr">
        <is>
          <t>♣Q ♣6 ♦A ♥4 ♠7 ♣8</t>
        </is>
      </c>
      <c r="E2091" t="inlineStr">
        <is>
          <t>分值=0</t>
        </is>
      </c>
    </row>
    <row r="2092">
      <c r="A2092" s="8" t="inlineStr">
        <is>
          <t>📝 操作日志</t>
        </is>
      </c>
    </row>
    <row r="2093">
      <c r="A2093">
        <f>== 第40局 ===</f>
        <v/>
      </c>
    </row>
    <row r="2094">
      <c r="A2094" t="inlineStr">
        <is>
          <t>庄家方级牌=7, 抓分方级牌=7, 庄家=玩家4</t>
        </is>
      </c>
    </row>
    <row r="2095">
      <c r="A2095" t="inlineStr">
        <is>
          <t>庄家阵营: 玩4、玩2 | 抓分阵营: 玩1、玩3</t>
        </is>
      </c>
    </row>
    <row r="2096">
      <c r="A2096" t="inlineStr">
        <is>
          <t>发牌完成 | 底牌: ♥8 ♥5 ♣Q ♣6 ♦A ♥4</t>
        </is>
      </c>
    </row>
    <row r="2097">
      <c r="A2097" t="inlineStr">
        <is>
          <t>【底牌首张定主】♥8 → 主=红桃</t>
        </is>
      </c>
    </row>
    <row r="2098">
      <c r="A2098" t="inlineStr">
        <is>
          <t>【埋底】庄家（玩4）埋 ♠7 ♣8, 取回 ♥8 ♥5</t>
        </is>
      </c>
    </row>
    <row r="2099">
      <c r="A2099" t="inlineStr">
        <is>
          <t xml:space="preserve">  埋底后底牌: ♣Q ♣6 ♦A ♥4 ♠7 ♣8 (分值=0)</t>
        </is>
      </c>
    </row>
    <row r="2100">
      <c r="A2100" t="inlineStr">
        <is>
          <t>第1圈 [对子]: 玩4首出 → [玩4:♠8 ♥8 | 玩1:♠2 ♠J | 玩2:♠3 ♠5 | 玩3:♠4 ♠Q] → 赢: 玩1(♠2) 分=5</t>
        </is>
      </c>
    </row>
    <row r="2101">
      <c r="A2101" t="inlineStr">
        <is>
          <t>第2圈 [对子]: 玩1首出 → [玩1:♣7 ♥7 | 玩2:♣3 ♣J | 玩3:♣2 ♣5 | 玩4:♥3 大王] → 赢: 玩4(大王) 分=5</t>
        </is>
      </c>
    </row>
    <row r="2102">
      <c r="A2102" t="inlineStr">
        <is>
          <t>第3圈 [对子]: 玩4首出 → [玩4:♥9 ♠9 | 玩1:♦3 ♣4 | 玩2:♦4 ♦6 | 玩3:♥2 ♥J] → 赢: 玩3(♥2) 分=0</t>
        </is>
      </c>
    </row>
    <row r="2103">
      <c r="A2103" t="inlineStr">
        <is>
          <t>第4圈 [单张]: 玩3首出 → [玩3:♣9 | 玩4:♥5 | 玩1:♣10 | 玩2:♣K] → 赢: 玩2(♣K) 分=25</t>
        </is>
      </c>
    </row>
    <row r="2104">
      <c r="A2104" t="inlineStr">
        <is>
          <t>第5圈 [对子]: 玩2首出 → [玩2:♥A ♠A | 玩3:♦10 ♠K | 玩4:♥10 ♥Q | 玩1:♦5 ♥6] → 赢: 玩2(♥A) 分=35</t>
        </is>
      </c>
    </row>
    <row r="2105">
      <c r="A2105" t="inlineStr">
        <is>
          <t>第6圈 [单张]: 玩2首出 → [玩2:♠6 | 玩3:♥K | 玩4:♠10 | 玩1:♦7] → 赢: 玩4(♠10) 分=20</t>
        </is>
      </c>
    </row>
    <row r="2106">
      <c r="A2106" t="inlineStr">
        <is>
          <t>第7圈 [单张]: 玩4首出 → [玩4:♦Q | 玩1:♦9 | 玩2:♦8 | 玩3:♣A] → 赢: 玩4(♦Q) 分=0</t>
        </is>
      </c>
    </row>
    <row r="2107">
      <c r="A2107" t="inlineStr">
        <is>
          <t>第8圈 [单张]: 玩4首出 → [玩4:♦2 | 玩1:♦J | 玩2:♦K | 玩3:小王] → 赢: 玩3(小王) 分=10</t>
        </is>
      </c>
    </row>
    <row r="2108">
      <c r="A2108" t="inlineStr">
        <is>
          <t>抓分方总分=100</t>
        </is>
      </c>
    </row>
    <row r="2109">
      <c r="A2109" t="inlineStr">
        <is>
          <t>结算: 抓分=100 扣底=是 庄方+0 抓方+9</t>
        </is>
      </c>
    </row>
    <row r="2110">
      <c r="A2110" t="inlineStr">
        <is>
          <t>级牌: 庄方 7→7 | 抓方 7→16</t>
        </is>
      </c>
    </row>
    <row r="2111">
      <c r="A2111" t="inlineStr">
        <is>
          <t>⚠️ 抓分方 16 &gt; 7，强制停在7，获得庄权，需再守庄一局</t>
        </is>
      </c>
    </row>
    <row r="2112">
      <c r="A2112" t="inlineStr">
        <is>
          <t>庄家变更: → 玩1</t>
        </is>
      </c>
    </row>
    <row r="2113">
      <c r="A2113" t="inlineStr">
        <is>
          <t>级牌重置: 庄家方=7 抓分方=7</t>
        </is>
      </c>
    </row>
    <row r="2114">
      <c r="A2114" t="inlineStr">
        <is>
          <t>守庄失败，对方上台继续</t>
        </is>
      </c>
    </row>
    <row r="2115">
      <c r="A2115" t="inlineStr">
        <is>
          <t>第40局结束 | 庄家方=7 抓分方=7</t>
        </is>
      </c>
    </row>
    <row r="2116">
      <c r="A2116" s="8" t="inlineStr">
        <is>
          <t>📊 结算</t>
        </is>
      </c>
    </row>
    <row r="2117">
      <c r="A2117" s="9" t="inlineStr">
        <is>
          <t>抓分方得分</t>
        </is>
      </c>
      <c r="C2117" t="inlineStr">
        <is>
          <t>100</t>
        </is>
      </c>
    </row>
    <row r="2118">
      <c r="A2118" s="9" t="inlineStr">
        <is>
          <t>是否扣底</t>
        </is>
      </c>
      <c r="C2118" t="inlineStr">
        <is>
          <t>是</t>
        </is>
      </c>
    </row>
    <row r="2119">
      <c r="A2119" s="9" t="inlineStr">
        <is>
          <t>扣底牌</t>
        </is>
      </c>
      <c r="C2119" t="inlineStr">
        <is>
          <t>小王</t>
        </is>
      </c>
    </row>
    <row r="2120">
      <c r="A2120" s="9" t="inlineStr">
        <is>
          <t>基础升级 抓方</t>
        </is>
      </c>
      <c r="C2120" t="inlineStr">
        <is>
          <t>+6</t>
        </is>
      </c>
    </row>
    <row r="2121">
      <c r="A2121" s="9" t="inlineStr">
        <is>
          <t>扣底加成</t>
        </is>
      </c>
      <c r="C2121" t="inlineStr">
        <is>
          <t>+3</t>
        </is>
      </c>
    </row>
    <row r="2122">
      <c r="A2122" s="9" t="inlineStr">
        <is>
          <t>总升级 抓方</t>
        </is>
      </c>
      <c r="C2122" t="inlineStr">
        <is>
          <t>+9</t>
        </is>
      </c>
    </row>
    <row r="2123">
      <c r="A2123" s="9" t="inlineStr">
        <is>
          <t>总升级 庄方</t>
        </is>
      </c>
      <c r="C2123" t="inlineStr">
        <is>
          <t>+0</t>
        </is>
      </c>
    </row>
    <row r="2124">
      <c r="A2124" s="9" t="inlineStr">
        <is>
          <t>结果</t>
        </is>
      </c>
      <c r="C2124" t="inlineStr">
        <is>
          <t>上台过7（需守庄）</t>
        </is>
      </c>
    </row>
    <row r="2127">
      <c r="A2127" s="6" t="inlineStr">
        <is>
          <t>═══ 第41局 ─ 上台过7（需守庄） ═══</t>
        </is>
      </c>
    </row>
    <row r="2128">
      <c r="A2128" s="7" t="inlineStr">
        <is>
          <t>庄家</t>
        </is>
      </c>
      <c r="C2128" t="inlineStr">
        <is>
          <t>玩家1</t>
        </is>
      </c>
    </row>
    <row r="2129">
      <c r="A2129" s="7" t="inlineStr">
        <is>
          <t>庄家方级牌</t>
        </is>
      </c>
      <c r="C2129" t="inlineStr">
        <is>
          <t>7</t>
        </is>
      </c>
    </row>
    <row r="2130">
      <c r="A2130" s="7" t="inlineStr">
        <is>
          <t>抓分方级牌</t>
        </is>
      </c>
      <c r="C2130" t="inlineStr">
        <is>
          <t>7</t>
        </is>
      </c>
    </row>
    <row r="2131">
      <c r="A2131" s="7" t="inlineStr">
        <is>
          <t>本局级牌</t>
        </is>
      </c>
      <c r="C2131" t="inlineStr">
        <is>
          <t>7</t>
        </is>
      </c>
    </row>
    <row r="2132">
      <c r="A2132" s="7" t="inlineStr">
        <is>
          <t>庄家阵营</t>
        </is>
      </c>
      <c r="C2132" t="inlineStr">
        <is>
          <t>玩家1、玩家3</t>
        </is>
      </c>
    </row>
    <row r="2133">
      <c r="A2133" s="7" t="inlineStr">
        <is>
          <t>抓分阵营</t>
        </is>
      </c>
      <c r="C2133" t="inlineStr">
        <is>
          <t>玩家2、玩家4</t>
        </is>
      </c>
    </row>
    <row r="2134">
      <c r="A2134" s="7" t="inlineStr">
        <is>
          <t>定主方式</t>
        </is>
      </c>
      <c r="C2134" t="inlineStr">
        <is>
          <t>bottom_card</t>
        </is>
      </c>
    </row>
    <row r="2135">
      <c r="A2135" s="7" t="inlineStr">
        <is>
          <t>主花色</t>
        </is>
      </c>
      <c r="C2135" t="inlineStr">
        <is>
          <t>黑桃</t>
        </is>
      </c>
    </row>
    <row r="2136">
      <c r="A2136" s="8" t="inlineStr">
        <is>
          <t>📋 初始手牌</t>
        </is>
      </c>
    </row>
    <row r="2137">
      <c r="A2137" t="inlineStr">
        <is>
          <t>玩家1</t>
        </is>
      </c>
      <c r="B2137" t="inlineStr">
        <is>
          <t>♦4 ♣Q ♣2 ♥8 ♠10 ♣6 ♣A ♥K ♠K ♦6 ♦3 ♣4</t>
        </is>
      </c>
    </row>
    <row r="2138">
      <c r="A2138" t="inlineStr">
        <is>
          <t>玩家2</t>
        </is>
      </c>
      <c r="B2138" t="inlineStr">
        <is>
          <t>♣7 ♦J 小王 ♠9 ♦K ♦A ♥7 ♥A ♣9 ♦Q 大王 ♦2</t>
        </is>
      </c>
    </row>
    <row r="2139">
      <c r="A2139" t="inlineStr">
        <is>
          <t>玩家3</t>
        </is>
      </c>
      <c r="B2139" t="inlineStr">
        <is>
          <t>♠5 ♣J ♠A ♠7 ♣10 ♦8 ♠8 ♠6 ♣K ♠2 ♥10 ♦10</t>
        </is>
      </c>
    </row>
    <row r="2140">
      <c r="A2140" t="inlineStr">
        <is>
          <t>玩家4</t>
        </is>
      </c>
      <c r="B2140" t="inlineStr">
        <is>
          <t>♣5 ♥Q ♦7 ♥2 ♠4 ♣8 ♣3 ♥4 ♦9 ♥6 ♦5 ♥J</t>
        </is>
      </c>
    </row>
    <row r="2141">
      <c r="A2141" s="8" t="inlineStr">
        <is>
          <t>📦 底牌信息</t>
        </is>
      </c>
    </row>
    <row r="2142">
      <c r="A2142" t="inlineStr">
        <is>
          <t>初始底牌</t>
        </is>
      </c>
      <c r="B2142" t="inlineStr">
        <is>
          <t>♠3 ♥5 ♠J ♥9 ♥3 ♠Q</t>
        </is>
      </c>
    </row>
    <row r="2143">
      <c r="A2143" t="inlineStr">
        <is>
          <t>庄家埋入</t>
        </is>
      </c>
      <c r="B2143" t="inlineStr">
        <is>
          <t>♦3 ♦4 ♣4 ♣6 ♦6</t>
        </is>
      </c>
      <c r="D2143" t="inlineStr">
        <is>
          <t>♠Q ♦3 ♦4 ♣4 ♣6 ♦6</t>
        </is>
      </c>
      <c r="E2143" t="inlineStr">
        <is>
          <t>分值=0</t>
        </is>
      </c>
    </row>
    <row r="2144">
      <c r="A2144" s="8" t="inlineStr">
        <is>
          <t>📝 操作日志</t>
        </is>
      </c>
    </row>
    <row r="2145">
      <c r="A2145">
        <f>== 第41局 ===</f>
        <v/>
      </c>
    </row>
    <row r="2146">
      <c r="A2146" t="inlineStr">
        <is>
          <t>庄家方级牌=7, 抓分方级牌=7, 庄家=玩家1</t>
        </is>
      </c>
    </row>
    <row r="2147">
      <c r="A2147" t="inlineStr">
        <is>
          <t>庄家阵营: 玩1、玩3 | 抓分阵营: 玩2、玩4</t>
        </is>
      </c>
    </row>
    <row r="2148">
      <c r="A2148" t="inlineStr">
        <is>
          <t>发牌完成 | 底牌: ♠3 ♥5 ♠J ♥9 ♥3 ♠Q</t>
        </is>
      </c>
    </row>
    <row r="2149">
      <c r="A2149" t="inlineStr">
        <is>
          <t>【底牌首张定主】♠3 → 主=黑桃</t>
        </is>
      </c>
    </row>
    <row r="2150">
      <c r="A2150" t="inlineStr">
        <is>
          <t>【埋底】庄家（玩1）埋 ♦3 ♦4 ♣4 ♣6 ♦6, 取回 ♠3 ♥5 ♠J ♥9 ♥3</t>
        </is>
      </c>
    </row>
    <row r="2151">
      <c r="A2151" t="inlineStr">
        <is>
          <t xml:space="preserve">  埋底后底牌: ♠Q ♦3 ♦4 ♣4 ♣6 ♦6 (分值=0)</t>
        </is>
      </c>
    </row>
    <row r="2152">
      <c r="A2152" t="inlineStr">
        <is>
          <t>第1圈 [对子]: 玩1首出 → [玩1:♠3 ♥3 | 玩2:♣7 ♥7 | 玩3:♠2 ♠5 | 玩4:♣3 ♠4] → 赢: 玩1(♥3) 分=5</t>
        </is>
      </c>
    </row>
    <row r="2153">
      <c r="A2153" t="inlineStr">
        <is>
          <t>第2圈 [单张]: 玩1首出 → [玩1:♥8 | 玩2:♥A | 玩3:♥10 | 玩4:♥2] → 赢: 玩4(♥2) 分=10</t>
        </is>
      </c>
    </row>
    <row r="2154">
      <c r="A2154" t="inlineStr">
        <is>
          <t>第3圈 [单张]: 玩4首出 → [玩4:♥4 | 玩1:♥9 | 玩2:♠9 | 玩3:♠6] → 赢: 玩1(♥9) 分=0</t>
        </is>
      </c>
    </row>
    <row r="2155">
      <c r="A2155" t="inlineStr">
        <is>
          <t>第4圈 [单张]: 玩1首出 → [玩1:♠J | 玩2:♣9 | 玩3:♠7 | 玩4:♣5] → 赢: 玩1(♠J) 分=5</t>
        </is>
      </c>
    </row>
    <row r="2156">
      <c r="A2156" t="inlineStr">
        <is>
          <t>第5圈 [单张]: 玩1首出 → [玩1:♣Q | 玩2:♦J | 玩3:♣J | 玩4:♣8] → 赢: 玩1(♣Q) 分=0</t>
        </is>
      </c>
    </row>
    <row r="2157">
      <c r="A2157" t="inlineStr">
        <is>
          <t>第6圈 [单张]: 玩1首出 → [玩1:♣A | 玩2:♦Q | 玩3:♣10 | 玩4:♦5] → 赢: 玩1(♣A) 分=15</t>
        </is>
      </c>
    </row>
    <row r="2158">
      <c r="A2158" t="inlineStr">
        <is>
          <t>第7圈 [单张]: 玩1首出 → [玩1:♣2 | 玩2:♦K | 玩3:♣K | 玩4:♥6] → 赢: 玩1(♣2) 分=20</t>
        </is>
      </c>
    </row>
    <row r="2159">
      <c r="A2159" t="inlineStr">
        <is>
          <t>第8圈 [单张]: 玩1首出 → [玩1:♥5 | 玩2:♦2 | 玩3:♦8 | 玩4:♥J] → 赢: 玩2(♦2) 分=5</t>
        </is>
      </c>
    </row>
    <row r="2160">
      <c r="A2160" t="inlineStr">
        <is>
          <t>第9圈 [单张]: 玩2首出 → [玩2:♦A | 玩3:♦10 | 玩4:♦7 | 玩1:♠10] → 赢: 玩2(♦A) 分=20</t>
        </is>
      </c>
    </row>
    <row r="2161">
      <c r="A2161" t="inlineStr">
        <is>
          <t>第10圈 [单张]: 玩2首出 → [玩2:小王 | 玩3:♠8 | 玩4:♦9 | 玩1:♥K] → 赢: 玩2(小王) 分=10</t>
        </is>
      </c>
    </row>
    <row r="2162">
      <c r="A2162" t="inlineStr">
        <is>
          <t>第11圈 [单张]: 玩2首出 → [玩2:大王 | 玩3:♠A | 玩4:♥Q | 玩1:♠K] → 赢: 玩2(大王) 分=10</t>
        </is>
      </c>
    </row>
    <row r="2163">
      <c r="A2163" t="inlineStr">
        <is>
          <t>抓分方总分=100</t>
        </is>
      </c>
    </row>
    <row r="2164">
      <c r="A2164" t="inlineStr">
        <is>
          <t>结算: 抓分=100 扣底=是 庄方+0 抓方+10</t>
        </is>
      </c>
    </row>
    <row r="2165">
      <c r="A2165" t="inlineStr">
        <is>
          <t>级牌: 庄方 7→7 | 抓方 7→17</t>
        </is>
      </c>
    </row>
    <row r="2166">
      <c r="A2166" t="inlineStr">
        <is>
          <t>⚠️ 抓分方 17 &gt; 7，强制停在7，获得庄权，需再守庄一局</t>
        </is>
      </c>
    </row>
    <row r="2167">
      <c r="A2167" t="inlineStr">
        <is>
          <t>庄家变更: → 玩2</t>
        </is>
      </c>
    </row>
    <row r="2168">
      <c r="A2168" t="inlineStr">
        <is>
          <t>级牌重置: 庄家方=7 抓分方=7</t>
        </is>
      </c>
    </row>
    <row r="2169">
      <c r="A2169" t="inlineStr">
        <is>
          <t>守庄失败，对方上台继续</t>
        </is>
      </c>
    </row>
    <row r="2170">
      <c r="A2170" t="inlineStr">
        <is>
          <t>第41局结束 | 庄家方=7 抓分方=7</t>
        </is>
      </c>
    </row>
    <row r="2171">
      <c r="A2171" s="8" t="inlineStr">
        <is>
          <t>📊 结算</t>
        </is>
      </c>
    </row>
    <row r="2172">
      <c r="A2172" s="9" t="inlineStr">
        <is>
          <t>抓分方得分</t>
        </is>
      </c>
      <c r="C2172" t="inlineStr">
        <is>
          <t>100</t>
        </is>
      </c>
    </row>
    <row r="2173">
      <c r="A2173" s="9" t="inlineStr">
        <is>
          <t>是否扣底</t>
        </is>
      </c>
      <c r="C2173" t="inlineStr">
        <is>
          <t>是</t>
        </is>
      </c>
    </row>
    <row r="2174">
      <c r="A2174" s="9" t="inlineStr">
        <is>
          <t>扣底牌</t>
        </is>
      </c>
      <c r="C2174" t="inlineStr">
        <is>
          <t>大王</t>
        </is>
      </c>
    </row>
    <row r="2175">
      <c r="A2175" s="9" t="inlineStr">
        <is>
          <t>基础升级 抓方</t>
        </is>
      </c>
      <c r="C2175" t="inlineStr">
        <is>
          <t>+6</t>
        </is>
      </c>
    </row>
    <row r="2176">
      <c r="A2176" s="9" t="inlineStr">
        <is>
          <t>扣底加成</t>
        </is>
      </c>
      <c r="C2176" t="inlineStr">
        <is>
          <t>+4</t>
        </is>
      </c>
    </row>
    <row r="2177">
      <c r="A2177" s="9" t="inlineStr">
        <is>
          <t>总升级 抓方</t>
        </is>
      </c>
      <c r="C2177" t="inlineStr">
        <is>
          <t>+10</t>
        </is>
      </c>
    </row>
    <row r="2178">
      <c r="A2178" s="9" t="inlineStr">
        <is>
          <t>总升级 庄方</t>
        </is>
      </c>
      <c r="C2178" t="inlineStr">
        <is>
          <t>+0</t>
        </is>
      </c>
    </row>
    <row r="2179">
      <c r="A2179" s="9" t="inlineStr">
        <is>
          <t>结果</t>
        </is>
      </c>
      <c r="C2179" t="inlineStr">
        <is>
          <t>上台过7（需守庄）</t>
        </is>
      </c>
    </row>
    <row r="2182">
      <c r="A2182" s="6" t="inlineStr">
        <is>
          <t>═══ 第42局 ─ 上台过7（需守庄） ═══</t>
        </is>
      </c>
    </row>
    <row r="2183">
      <c r="A2183" s="7" t="inlineStr">
        <is>
          <t>庄家</t>
        </is>
      </c>
      <c r="C2183" t="inlineStr">
        <is>
          <t>玩家2</t>
        </is>
      </c>
    </row>
    <row r="2184">
      <c r="A2184" s="7" t="inlineStr">
        <is>
          <t>庄家方级牌</t>
        </is>
      </c>
      <c r="C2184" t="inlineStr">
        <is>
          <t>7</t>
        </is>
      </c>
    </row>
    <row r="2185">
      <c r="A2185" s="7" t="inlineStr">
        <is>
          <t>抓分方级牌</t>
        </is>
      </c>
      <c r="C2185" t="inlineStr">
        <is>
          <t>7</t>
        </is>
      </c>
    </row>
    <row r="2186">
      <c r="A2186" s="7" t="inlineStr">
        <is>
          <t>本局级牌</t>
        </is>
      </c>
      <c r="C2186" t="inlineStr">
        <is>
          <t>7</t>
        </is>
      </c>
    </row>
    <row r="2187">
      <c r="A2187" s="7" t="inlineStr">
        <is>
          <t>庄家阵营</t>
        </is>
      </c>
      <c r="C2187" t="inlineStr">
        <is>
          <t>玩家2、玩家4</t>
        </is>
      </c>
    </row>
    <row r="2188">
      <c r="A2188" s="7" t="inlineStr">
        <is>
          <t>抓分阵营</t>
        </is>
      </c>
      <c r="C2188" t="inlineStr">
        <is>
          <t>玩家3、玩家1</t>
        </is>
      </c>
    </row>
    <row r="2189">
      <c r="A2189" s="7" t="inlineStr">
        <is>
          <t>定主方式</t>
        </is>
      </c>
      <c r="C2189" t="inlineStr">
        <is>
          <t>bottom_card</t>
        </is>
      </c>
    </row>
    <row r="2190">
      <c r="A2190" s="7" t="inlineStr">
        <is>
          <t>主花色</t>
        </is>
      </c>
      <c r="C2190" t="inlineStr">
        <is>
          <t>方块</t>
        </is>
      </c>
    </row>
    <row r="2191">
      <c r="A2191" s="8" t="inlineStr">
        <is>
          <t>📋 初始手牌</t>
        </is>
      </c>
    </row>
    <row r="2192">
      <c r="A2192" t="inlineStr">
        <is>
          <t>玩家1</t>
        </is>
      </c>
      <c r="B2192" t="inlineStr">
        <is>
          <t>♣J ♣8 ♣3 ♦5 ♥3 ♥2 ♥4 ♠J ♣K ♦6 ♣6 ♠9</t>
        </is>
      </c>
    </row>
    <row r="2193">
      <c r="A2193" t="inlineStr">
        <is>
          <t>玩家2</t>
        </is>
      </c>
      <c r="B2193" t="inlineStr">
        <is>
          <t>♣7 ♠K ♠6 ♦K ♦J ♣5 ♥K ♠3 ♥6 ♣10 ♦4 ♣9</t>
        </is>
      </c>
    </row>
    <row r="2194">
      <c r="A2194" t="inlineStr">
        <is>
          <t>玩家3</t>
        </is>
      </c>
      <c r="B2194" t="inlineStr">
        <is>
          <t>♥7 ♥J ♦A ♥10 ♠5 ♠8 ♣A ♠2 ♦10 ♦2 ♠Q 小王</t>
        </is>
      </c>
    </row>
    <row r="2195">
      <c r="A2195" t="inlineStr">
        <is>
          <t>玩家4</t>
        </is>
      </c>
      <c r="B2195" t="inlineStr">
        <is>
          <t>♥8 ♠7 ♥A ♣2 ♠4 ♦9 ♣4 ♥Q ♥5 ♦3 ♦7 ♠10</t>
        </is>
      </c>
    </row>
    <row r="2196">
      <c r="A2196" s="8" t="inlineStr">
        <is>
          <t>📦 底牌信息</t>
        </is>
      </c>
    </row>
    <row r="2197">
      <c r="A2197" t="inlineStr">
        <is>
          <t>初始底牌</t>
        </is>
      </c>
      <c r="B2197" t="inlineStr">
        <is>
          <t>♦8 ♠A 大王 ♦Q ♣Q ♥9</t>
        </is>
      </c>
    </row>
    <row r="2198">
      <c r="A2198" t="inlineStr">
        <is>
          <t>庄家埋入</t>
        </is>
      </c>
      <c r="B2198" t="inlineStr">
        <is>
          <t>♠3 ♦4 ♠6 ♥6 ♣7</t>
        </is>
      </c>
      <c r="D2198" t="inlineStr">
        <is>
          <t>♥9 ♠3 ♦4 ♠6 ♥6 ♣7</t>
        </is>
      </c>
      <c r="E2198" t="inlineStr">
        <is>
          <t>分值=0</t>
        </is>
      </c>
    </row>
    <row r="2199">
      <c r="A2199" s="8" t="inlineStr">
        <is>
          <t>📝 操作日志</t>
        </is>
      </c>
    </row>
    <row r="2200">
      <c r="A2200">
        <f>== 第42局 ===</f>
        <v/>
      </c>
    </row>
    <row r="2201">
      <c r="A2201" t="inlineStr">
        <is>
          <t>庄家方级牌=7, 抓分方级牌=7, 庄家=玩家2</t>
        </is>
      </c>
    </row>
    <row r="2202">
      <c r="A2202" t="inlineStr">
        <is>
          <t>庄家阵营: 玩2、玩4 | 抓分阵营: 玩3、玩1</t>
        </is>
      </c>
    </row>
    <row r="2203">
      <c r="A2203" t="inlineStr">
        <is>
          <t>发牌完成 | 底牌: ♦8 ♠A 大王 ♦Q ♣Q ♥9</t>
        </is>
      </c>
    </row>
    <row r="2204">
      <c r="A2204" t="inlineStr">
        <is>
          <t>【底牌首张定主】♦8 → 主=方块</t>
        </is>
      </c>
    </row>
    <row r="2205">
      <c r="A2205" t="inlineStr">
        <is>
          <t>【埋底】庄家（玩2）埋 ♠3 ♦4 ♠6 ♥6 ♣7, 取回 ♦8 ♠A 大王 ♦Q ♣Q</t>
        </is>
      </c>
    </row>
    <row r="2206">
      <c r="A2206" t="inlineStr">
        <is>
          <t xml:space="preserve">  埋底后底牌: ♥9 ♠3 ♦4 ♠6 ♥6 ♣7 (分值=0)</t>
        </is>
      </c>
    </row>
    <row r="2207">
      <c r="A2207" t="inlineStr">
        <is>
          <t>第1圈 [对子]: 玩2首出 → [玩2:♦Q ♣Q | 玩3:♦2 ♦10 | 玩4:♦3 ♦7 | 玩1:♦5 ♦6] → 赢: 玩3(♦2) 分=15</t>
        </is>
      </c>
    </row>
    <row r="2208">
      <c r="A2208" t="inlineStr">
        <is>
          <t>第2圈 [对子]: 玩3首出 → [玩3:♦A ♣A | 玩4:♠4 ♣4 | 玩1:♣3 ♥4 | 玩2:♦8 ♦J] → 赢: 玩3(♦A) 分=0</t>
        </is>
      </c>
    </row>
    <row r="2209">
      <c r="A2209" t="inlineStr">
        <is>
          <t>第3圈 [单张]: 玩3首出 → [玩3:♥7 | 玩4:♥8 | 玩1:♥2 | 玩2:♥K] → 赢: 玩1(♥2) 分=10</t>
        </is>
      </c>
    </row>
    <row r="2210">
      <c r="A2210" t="inlineStr">
        <is>
          <t>第4圈 [对子]: 玩1首出 → [玩1:♣J ♠J | 玩2:♣5 ♣9 | 玩3:♠2 小王 | 玩4:♣2] → 赢: 玩3(小王) 分=5</t>
        </is>
      </c>
    </row>
    <row r="2211">
      <c r="A2211" t="inlineStr">
        <is>
          <t>第5圈 [单张]: 玩3首出 → [玩3:♠8 | 玩4:♠7 | 玩1:♠9 | 玩2:♠A] → 赢: 玩2(♠A) 分=0</t>
        </is>
      </c>
    </row>
    <row r="2212">
      <c r="A2212" t="inlineStr">
        <is>
          <t>第6圈 [单张]: 玩2首出 → [玩2:大王 | 玩3:♠5 | 玩4:♥5 | 玩1:♣6] → 赢: 玩2(大王) 分=10</t>
        </is>
      </c>
    </row>
    <row r="2213">
      <c r="A2213" t="inlineStr">
        <is>
          <t>第7圈 [单张]: 玩2首出 → [玩2:♣10 | 玩3:♥10 | 玩4:♦9 | 玩1:♣K] → 赢: 玩1(♣K) 分=30</t>
        </is>
      </c>
    </row>
    <row r="2214">
      <c r="A2214" t="inlineStr">
        <is>
          <t>第8圈 [单张]: 玩1首出 → [玩1:♣8 | 玩2:♠K | 玩3:♥J | 玩4:♠10] → 赢: 玩1(♣8) 分=20</t>
        </is>
      </c>
    </row>
    <row r="2215">
      <c r="A2215" t="inlineStr">
        <is>
          <t>第9圈 [单张]: 玩1首出 → [玩1:♥3 | 玩2:♦K | 玩3:♠Q | 玩4:♥Q] → 赢: 玩1(♥3) 分=10</t>
        </is>
      </c>
    </row>
    <row r="2216">
      <c r="A2216" t="inlineStr">
        <is>
          <t>第10圈 [单张]: 玩1首出 → [玩1:无 | 玩2:无 | 玩3:无 | 玩4:♥A] → 赢: 玩4(♥A) 分=0</t>
        </is>
      </c>
    </row>
    <row r="2217">
      <c r="A2217" t="inlineStr">
        <is>
          <t>抓分方总分=100</t>
        </is>
      </c>
    </row>
    <row r="2218">
      <c r="A2218" t="inlineStr">
        <is>
          <t>结算: 抓分=100 扣底=否 庄方+0 抓方+6</t>
        </is>
      </c>
    </row>
    <row r="2219">
      <c r="A2219" t="inlineStr">
        <is>
          <t>级牌: 庄方 7→7 | 抓方 7→13</t>
        </is>
      </c>
    </row>
    <row r="2220">
      <c r="A2220" t="inlineStr">
        <is>
          <t>⚠️ 抓分方 13 &gt; 7，强制停在7，获得庄权，需再守庄一局</t>
        </is>
      </c>
    </row>
    <row r="2221">
      <c r="A2221" t="inlineStr">
        <is>
          <t>庄家变更: → 玩3</t>
        </is>
      </c>
    </row>
    <row r="2222">
      <c r="A2222" t="inlineStr">
        <is>
          <t>级牌重置: 庄家方=7 抓分方=7</t>
        </is>
      </c>
    </row>
    <row r="2223">
      <c r="A2223" t="inlineStr">
        <is>
          <t>守庄失败，对方上台继续</t>
        </is>
      </c>
    </row>
    <row r="2224">
      <c r="A2224" t="inlineStr">
        <is>
          <t>第42局结束 | 庄家方=7 抓分方=7</t>
        </is>
      </c>
    </row>
    <row r="2225">
      <c r="A2225" s="8" t="inlineStr">
        <is>
          <t>📊 结算</t>
        </is>
      </c>
    </row>
    <row r="2226">
      <c r="A2226" s="9" t="inlineStr">
        <is>
          <t>抓分方得分</t>
        </is>
      </c>
      <c r="C2226" t="inlineStr">
        <is>
          <t>100</t>
        </is>
      </c>
    </row>
    <row r="2227">
      <c r="A2227" s="9" t="inlineStr">
        <is>
          <t>是否扣底</t>
        </is>
      </c>
      <c r="C2227" t="inlineStr">
        <is>
          <t>否</t>
        </is>
      </c>
    </row>
    <row r="2228">
      <c r="A2228" s="9" t="inlineStr">
        <is>
          <t>扣底牌</t>
        </is>
      </c>
      <c r="C2228" t="inlineStr">
        <is>
          <t>♥A</t>
        </is>
      </c>
    </row>
    <row r="2229">
      <c r="A2229" s="9" t="inlineStr">
        <is>
          <t>基础升级 抓方</t>
        </is>
      </c>
      <c r="C2229" t="inlineStr">
        <is>
          <t>+6</t>
        </is>
      </c>
    </row>
    <row r="2230">
      <c r="A2230" s="9" t="inlineStr">
        <is>
          <t>扣底加成</t>
        </is>
      </c>
      <c r="C2230" t="inlineStr">
        <is>
          <t>无</t>
        </is>
      </c>
    </row>
    <row r="2231">
      <c r="A2231" s="9" t="inlineStr">
        <is>
          <t>总升级 抓方</t>
        </is>
      </c>
      <c r="C2231" t="inlineStr">
        <is>
          <t>+6</t>
        </is>
      </c>
    </row>
    <row r="2232">
      <c r="A2232" s="9" t="inlineStr">
        <is>
          <t>总升级 庄方</t>
        </is>
      </c>
      <c r="C2232" t="inlineStr">
        <is>
          <t>+0</t>
        </is>
      </c>
    </row>
    <row r="2233">
      <c r="A2233" s="9" t="inlineStr">
        <is>
          <t>结果</t>
        </is>
      </c>
      <c r="C2233" t="inlineStr">
        <is>
          <t>上台过7（需守庄）</t>
        </is>
      </c>
    </row>
    <row r="2236">
      <c r="A2236" s="6" t="inlineStr">
        <is>
          <t>═══ 第43局 ─ 上台过7（需守庄） ═══</t>
        </is>
      </c>
    </row>
    <row r="2237">
      <c r="A2237" s="7" t="inlineStr">
        <is>
          <t>庄家</t>
        </is>
      </c>
      <c r="C2237" t="inlineStr">
        <is>
          <t>玩家3</t>
        </is>
      </c>
    </row>
    <row r="2238">
      <c r="A2238" s="7" t="inlineStr">
        <is>
          <t>庄家方级牌</t>
        </is>
      </c>
      <c r="C2238" t="inlineStr">
        <is>
          <t>7</t>
        </is>
      </c>
    </row>
    <row r="2239">
      <c r="A2239" s="7" t="inlineStr">
        <is>
          <t>抓分方级牌</t>
        </is>
      </c>
      <c r="C2239" t="inlineStr">
        <is>
          <t>7</t>
        </is>
      </c>
    </row>
    <row r="2240">
      <c r="A2240" s="7" t="inlineStr">
        <is>
          <t>本局级牌</t>
        </is>
      </c>
      <c r="C2240" t="inlineStr">
        <is>
          <t>7</t>
        </is>
      </c>
    </row>
    <row r="2241">
      <c r="A2241" s="7" t="inlineStr">
        <is>
          <t>庄家阵营</t>
        </is>
      </c>
      <c r="C2241" t="inlineStr">
        <is>
          <t>玩家3、玩家1</t>
        </is>
      </c>
    </row>
    <row r="2242">
      <c r="A2242" s="7" t="inlineStr">
        <is>
          <t>抓分阵营</t>
        </is>
      </c>
      <c r="C2242" t="inlineStr">
        <is>
          <t>玩家4、玩家2</t>
        </is>
      </c>
    </row>
    <row r="2243">
      <c r="A2243" s="7" t="inlineStr">
        <is>
          <t>定主方式</t>
        </is>
      </c>
      <c r="C2243" t="inlineStr">
        <is>
          <t>bottom_card</t>
        </is>
      </c>
    </row>
    <row r="2244">
      <c r="A2244" s="7" t="inlineStr">
        <is>
          <t>主花色</t>
        </is>
      </c>
      <c r="C2244" t="inlineStr">
        <is>
          <t>草花</t>
        </is>
      </c>
    </row>
    <row r="2245">
      <c r="A2245" s="8" t="inlineStr">
        <is>
          <t>📋 初始手牌</t>
        </is>
      </c>
    </row>
    <row r="2246">
      <c r="A2246" t="inlineStr">
        <is>
          <t>玩家1</t>
        </is>
      </c>
      <c r="B2246" t="inlineStr">
        <is>
          <t>♦2 ♣3 ♦10 ♥10 ♠K ♦J ♥K ♣A ♠J ♥7 ♥Q ♥2</t>
        </is>
      </c>
    </row>
    <row r="2247">
      <c r="A2247" t="inlineStr">
        <is>
          <t>玩家2</t>
        </is>
      </c>
      <c r="B2247" t="inlineStr">
        <is>
          <t>♣8 ♠8 ♣9 ♠6 ♠10 ♠3 ♥A ♥3 ♠5 ♦K ♣4 ♠A</t>
        </is>
      </c>
    </row>
    <row r="2248">
      <c r="A2248" t="inlineStr">
        <is>
          <t>玩家3</t>
        </is>
      </c>
      <c r="B2248" t="inlineStr">
        <is>
          <t>♥4 ♣5 ♦8 ♣7 ♠9 ♦5 ♠4 小王 ♦4 ♠7 ♣2 ♣Q</t>
        </is>
      </c>
    </row>
    <row r="2249">
      <c r="A2249" t="inlineStr">
        <is>
          <t>玩家4</t>
        </is>
      </c>
      <c r="B2249" t="inlineStr">
        <is>
          <t>♥8 ♠2 ♦6 ♠Q ♥5 ♣10 ♦9 ♣K ♦A ♥J ♥9 ♥6</t>
        </is>
      </c>
    </row>
    <row r="2250">
      <c r="A2250" s="8" t="inlineStr">
        <is>
          <t>📦 底牌信息</t>
        </is>
      </c>
    </row>
    <row r="2251">
      <c r="A2251" t="inlineStr">
        <is>
          <t>初始底牌</t>
        </is>
      </c>
      <c r="B2251" t="inlineStr">
        <is>
          <t>大王 ♣6 ♦3 ♦7 ♣J ♦Q</t>
        </is>
      </c>
    </row>
    <row r="2252">
      <c r="A2252" t="inlineStr">
        <is>
          <t>庄家埋入</t>
        </is>
      </c>
      <c r="B2252" t="inlineStr">
        <is>
          <t>♥4 ♠4</t>
        </is>
      </c>
      <c r="D2252" t="inlineStr">
        <is>
          <t>♦3 ♦7 ♣J ♦Q ♥4 ♠4</t>
        </is>
      </c>
      <c r="E2252" t="inlineStr">
        <is>
          <t>分值=0</t>
        </is>
      </c>
    </row>
    <row r="2253">
      <c r="A2253" s="8" t="inlineStr">
        <is>
          <t>📝 操作日志</t>
        </is>
      </c>
    </row>
    <row r="2254">
      <c r="A2254">
        <f>== 第43局 ===</f>
        <v/>
      </c>
    </row>
    <row r="2255">
      <c r="A2255" t="inlineStr">
        <is>
          <t>庄家方级牌=7, 抓分方级牌=7, 庄家=玩家3</t>
        </is>
      </c>
    </row>
    <row r="2256">
      <c r="A2256" t="inlineStr">
        <is>
          <t>庄家阵营: 玩3、玩1 | 抓分阵营: 玩4、玩2</t>
        </is>
      </c>
    </row>
    <row r="2257">
      <c r="A2257" t="inlineStr">
        <is>
          <t>发牌完成 | 底牌: 大王 ♣6 ♦3 ♦7 ♣J ♦Q</t>
        </is>
      </c>
    </row>
    <row r="2258">
      <c r="A2258" t="inlineStr">
        <is>
          <t>【底牌首张定主】大王 → 主=草花</t>
        </is>
      </c>
    </row>
    <row r="2259">
      <c r="A2259" t="inlineStr">
        <is>
          <t>【埋底】庄家（玩3）埋 ♥4 ♠4, 取回 大王 ♣6</t>
        </is>
      </c>
    </row>
    <row r="2260">
      <c r="A2260" t="inlineStr">
        <is>
          <t xml:space="preserve">  埋底后底牌: ♦3 ♦7 ♣J ♦Q ♥4 ♠4 (分值=0)</t>
        </is>
      </c>
    </row>
    <row r="2261">
      <c r="A2261" t="inlineStr">
        <is>
          <t>第1圈 [对子]: 玩3首出 → [玩3:♣7 ♠7 | 玩4:♣10 ♣K | 玩1:♣3 ♣A | 玩2:♣4 ♣8] → 赢: 玩1(♣A) 分=20</t>
        </is>
      </c>
    </row>
    <row r="2262">
      <c r="A2262" t="inlineStr">
        <is>
          <t>第2圈 [对子]: 玩1首出 → [玩1:♦J ♠J | 玩2:♠3 ♠5 | 玩3:♦4 ♦5 | 玩4:♦6 ♦9] → 赢: 玩1(♦J) 分=10</t>
        </is>
      </c>
    </row>
    <row r="2263">
      <c r="A2263" t="inlineStr">
        <is>
          <t>第3圈 [对子]: 玩1首出 → [玩1:♦2 ♥2 | 玩2:♠6 ♠8 | 玩3:♣5 ♣6 | 玩4:♥5 ♥6] → 赢: 玩1(♥2) 分=10</t>
        </is>
      </c>
    </row>
    <row r="2264">
      <c r="A2264" t="inlineStr">
        <is>
          <t>第4圈 [单张]: 玩1首出 → [玩1:♥7 | 玩2:♥3 | 玩3:♦8 | 玩4:♥8] → 赢: 玩2(♥3) 分=0</t>
        </is>
      </c>
    </row>
    <row r="2265">
      <c r="A2265" t="inlineStr">
        <is>
          <t>第5圈 [对子]: 玩2首出 → [玩2:♥A ♠A | 玩3:♠9 ♣Q | 玩4:♥9 ♥J | 玩1:♥10 ♥Q] → 赢: 玩2(♥A) 分=10</t>
        </is>
      </c>
    </row>
    <row r="2266">
      <c r="A2266" t="inlineStr">
        <is>
          <t>第6圈 [单张]: 玩2首出 → [玩2:♣9 | 玩3:♣2 | 玩4:♠Q | 玩1:♦10] → 赢: 玩3(♣2) 分=10</t>
        </is>
      </c>
    </row>
    <row r="2267">
      <c r="A2267" t="inlineStr">
        <is>
          <t>第7圈 [单张]: 玩3首出 → [玩3:小王 | 玩4:♦A | 玩1:♠K | 玩2:♠10] → 赢: 玩3(小王) 分=20</t>
        </is>
      </c>
    </row>
    <row r="2268">
      <c r="A2268" t="inlineStr">
        <is>
          <t>第8圈 [单张]: 玩3首出 → [玩3:大王 | 玩4:♠2 | 玩1:♥K | 玩2:♦K] → 赢: 玩4(♠2) 分=20</t>
        </is>
      </c>
    </row>
    <row r="2269">
      <c r="A2269" t="inlineStr">
        <is>
          <t>抓分方总分=100</t>
        </is>
      </c>
    </row>
    <row r="2270">
      <c r="A2270" t="inlineStr">
        <is>
          <t>结算: 抓分=100 扣底=是 庄方+0 抓方+9</t>
        </is>
      </c>
    </row>
    <row r="2271">
      <c r="A2271" t="inlineStr">
        <is>
          <t>级牌: 庄方 7→7 | 抓方 7→16</t>
        </is>
      </c>
    </row>
    <row r="2272">
      <c r="A2272" t="inlineStr">
        <is>
          <t>⚠️ 抓分方 16 &gt; 7，强制停在7，获得庄权，需再守庄一局</t>
        </is>
      </c>
    </row>
    <row r="2273">
      <c r="A2273" t="inlineStr">
        <is>
          <t>庄家变更: → 玩4</t>
        </is>
      </c>
    </row>
    <row r="2274">
      <c r="A2274" t="inlineStr">
        <is>
          <t>级牌重置: 庄家方=7 抓分方=7</t>
        </is>
      </c>
    </row>
    <row r="2275">
      <c r="A2275" t="inlineStr">
        <is>
          <t>守庄失败，对方上台继续</t>
        </is>
      </c>
    </row>
    <row r="2276">
      <c r="A2276" t="inlineStr">
        <is>
          <t>第43局结束 | 庄家方=7 抓分方=7</t>
        </is>
      </c>
    </row>
    <row r="2277">
      <c r="A2277" s="8" t="inlineStr">
        <is>
          <t>📊 结算</t>
        </is>
      </c>
    </row>
    <row r="2278">
      <c r="A2278" s="9" t="inlineStr">
        <is>
          <t>抓分方得分</t>
        </is>
      </c>
      <c r="C2278" t="inlineStr">
        <is>
          <t>100</t>
        </is>
      </c>
    </row>
    <row r="2279">
      <c r="A2279" s="9" t="inlineStr">
        <is>
          <t>是否扣底</t>
        </is>
      </c>
      <c r="C2279" t="inlineStr">
        <is>
          <t>是</t>
        </is>
      </c>
    </row>
    <row r="2280">
      <c r="A2280" s="9" t="inlineStr">
        <is>
          <t>扣底牌</t>
        </is>
      </c>
      <c r="C2280" t="inlineStr">
        <is>
          <t>♠2</t>
        </is>
      </c>
    </row>
    <row r="2281">
      <c r="A2281" s="9" t="inlineStr">
        <is>
          <t>基础升级 抓方</t>
        </is>
      </c>
      <c r="C2281" t="inlineStr">
        <is>
          <t>+6</t>
        </is>
      </c>
    </row>
    <row r="2282">
      <c r="A2282" s="9" t="inlineStr">
        <is>
          <t>扣底加成</t>
        </is>
      </c>
      <c r="C2282" t="inlineStr">
        <is>
          <t>+3</t>
        </is>
      </c>
    </row>
    <row r="2283">
      <c r="A2283" s="9" t="inlineStr">
        <is>
          <t>总升级 抓方</t>
        </is>
      </c>
      <c r="C2283" t="inlineStr">
        <is>
          <t>+9</t>
        </is>
      </c>
    </row>
    <row r="2284">
      <c r="A2284" s="9" t="inlineStr">
        <is>
          <t>总升级 庄方</t>
        </is>
      </c>
      <c r="C2284" t="inlineStr">
        <is>
          <t>+0</t>
        </is>
      </c>
    </row>
    <row r="2285">
      <c r="A2285" s="9" t="inlineStr">
        <is>
          <t>结果</t>
        </is>
      </c>
      <c r="C2285" t="inlineStr">
        <is>
          <t>上台过7（需守庄）</t>
        </is>
      </c>
    </row>
    <row r="2288">
      <c r="A2288" s="6" t="inlineStr">
        <is>
          <t>═══ 第44局 ─ 上台过7（需守庄） ═══</t>
        </is>
      </c>
    </row>
    <row r="2289">
      <c r="A2289" s="7" t="inlineStr">
        <is>
          <t>庄家</t>
        </is>
      </c>
      <c r="C2289" t="inlineStr">
        <is>
          <t>玩家4</t>
        </is>
      </c>
    </row>
    <row r="2290">
      <c r="A2290" s="7" t="inlineStr">
        <is>
          <t>庄家方级牌</t>
        </is>
      </c>
      <c r="C2290" t="inlineStr">
        <is>
          <t>7</t>
        </is>
      </c>
    </row>
    <row r="2291">
      <c r="A2291" s="7" t="inlineStr">
        <is>
          <t>抓分方级牌</t>
        </is>
      </c>
      <c r="C2291" t="inlineStr">
        <is>
          <t>7</t>
        </is>
      </c>
    </row>
    <row r="2292">
      <c r="A2292" s="7" t="inlineStr">
        <is>
          <t>本局级牌</t>
        </is>
      </c>
      <c r="C2292" t="inlineStr">
        <is>
          <t>7</t>
        </is>
      </c>
    </row>
    <row r="2293">
      <c r="A2293" s="7" t="inlineStr">
        <is>
          <t>庄家阵营</t>
        </is>
      </c>
      <c r="C2293" t="inlineStr">
        <is>
          <t>玩家4、玩家2</t>
        </is>
      </c>
    </row>
    <row r="2294">
      <c r="A2294" s="7" t="inlineStr">
        <is>
          <t>抓分阵营</t>
        </is>
      </c>
      <c r="C2294" t="inlineStr">
        <is>
          <t>玩家1、玩家3</t>
        </is>
      </c>
    </row>
    <row r="2295">
      <c r="A2295" s="7" t="inlineStr">
        <is>
          <t>定主方式</t>
        </is>
      </c>
      <c r="C2295" t="inlineStr">
        <is>
          <t>bottom_card</t>
        </is>
      </c>
    </row>
    <row r="2296">
      <c r="A2296" s="7" t="inlineStr">
        <is>
          <t>主花色</t>
        </is>
      </c>
      <c r="C2296" t="inlineStr">
        <is>
          <t>草花</t>
        </is>
      </c>
    </row>
    <row r="2297">
      <c r="A2297" s="8" t="inlineStr">
        <is>
          <t>📋 初始手牌</t>
        </is>
      </c>
    </row>
    <row r="2298">
      <c r="A2298" t="inlineStr">
        <is>
          <t>玩家1</t>
        </is>
      </c>
      <c r="B2298" t="inlineStr">
        <is>
          <t>♣A ♦9 ♠4 ♠J ♦K ♦8 ♥J ♦5 ♣3 ♥9 ♥6 ♦3</t>
        </is>
      </c>
    </row>
    <row r="2299">
      <c r="A2299" t="inlineStr">
        <is>
          <t>玩家2</t>
        </is>
      </c>
      <c r="B2299" t="inlineStr">
        <is>
          <t>♦2 ♣K ♥5 ♠3 ♠8 小王 ♠K ♠5 ♣2 ♣J ♥3 ♦4</t>
        </is>
      </c>
    </row>
    <row r="2300">
      <c r="A2300" t="inlineStr">
        <is>
          <t>玩家3</t>
        </is>
      </c>
      <c r="B2300" t="inlineStr">
        <is>
          <t>♠6 大王 ♥10 ♣6 ♠A ♠2 ♦6 ♠7 ♥8 ♠Q ♦7 ♥4</t>
        </is>
      </c>
    </row>
    <row r="2301">
      <c r="A2301" t="inlineStr">
        <is>
          <t>玩家4</t>
        </is>
      </c>
      <c r="B2301" t="inlineStr">
        <is>
          <t>♣Q ♦Q ♥2 ♣8 ♦10 ♣10 ♥A ♣9 ♣7 ♥Q ♦J ♣4</t>
        </is>
      </c>
    </row>
    <row r="2302">
      <c r="A2302" s="8" t="inlineStr">
        <is>
          <t>📦 底牌信息</t>
        </is>
      </c>
    </row>
    <row r="2303">
      <c r="A2303" t="inlineStr">
        <is>
          <t>初始底牌</t>
        </is>
      </c>
      <c r="B2303" t="inlineStr">
        <is>
          <t>♣5 ♠10 ♠9 ♥K ♥7 ♦A</t>
        </is>
      </c>
    </row>
    <row r="2304">
      <c r="A2304" t="inlineStr">
        <is>
          <t>庄家埋入</t>
        </is>
      </c>
      <c r="B2304" t="inlineStr">
        <is>
          <t>♣4 ♣7 ♣8</t>
        </is>
      </c>
      <c r="D2304" t="inlineStr">
        <is>
          <t>♥K ♥7 ♦A ♣4 ♣7 ♣8</t>
        </is>
      </c>
      <c r="E2304" t="inlineStr">
        <is>
          <t>分值=10</t>
        </is>
      </c>
    </row>
    <row r="2305">
      <c r="A2305" s="8" t="inlineStr">
        <is>
          <t>📝 操作日志</t>
        </is>
      </c>
    </row>
    <row r="2306">
      <c r="A2306">
        <f>== 第44局 ===</f>
        <v/>
      </c>
    </row>
    <row r="2307">
      <c r="A2307" t="inlineStr">
        <is>
          <t>庄家方级牌=7, 抓分方级牌=7, 庄家=玩家4</t>
        </is>
      </c>
    </row>
    <row r="2308">
      <c r="A2308" t="inlineStr">
        <is>
          <t>庄家阵营: 玩4、玩2 | 抓分阵营: 玩1、玩3</t>
        </is>
      </c>
    </row>
    <row r="2309">
      <c r="A2309" t="inlineStr">
        <is>
          <t>发牌完成 | 底牌: ♣5 ♠10 ♠9 ♥K ♥7 ♦A</t>
        </is>
      </c>
    </row>
    <row r="2310">
      <c r="A2310" t="inlineStr">
        <is>
          <t>【底牌首张定主】♣5 → 主=草花</t>
        </is>
      </c>
    </row>
    <row r="2311">
      <c r="A2311" t="inlineStr">
        <is>
          <t>【埋底】庄家（玩4）埋 ♣4 ♣7 ♣8, 取回 ♣5 ♠10 ♠9</t>
        </is>
      </c>
    </row>
    <row r="2312">
      <c r="A2312" t="inlineStr">
        <is>
          <t xml:space="preserve">  埋底后底牌: ♥K ♥7 ♦A ♣4 ♣7 ♣8 (分值=10)</t>
        </is>
      </c>
    </row>
    <row r="2313">
      <c r="A2313" t="inlineStr">
        <is>
          <t>第1圈 [对子]: 玩4首出 → [玩4:♣9 ♠9 | 玩1:♣3 ♣A | 玩2:♣2 ♣J | 玩3:♥4 ♠6] → 赢: 玩2(♣2) 分=0</t>
        </is>
      </c>
    </row>
    <row r="2314">
      <c r="A2314" t="inlineStr">
        <is>
          <t>第2圈 [对子]: 玩2首出 → [玩2:♠3 ♥3 | 玩3:♠2 ♠7 | 玩4:♣5 ♦10 | 玩1:♠4 ♠J] → 赢: 玩2(♥3) 分=15</t>
        </is>
      </c>
    </row>
    <row r="2315">
      <c r="A2315" t="inlineStr">
        <is>
          <t>第3圈 [单张]: 玩2首出 → [玩2:♦4 | 玩3:♦6 | 玩4:♦J | 玩1:♦3] → 赢: 玩4(♦J) 分=0</t>
        </is>
      </c>
    </row>
    <row r="2316">
      <c r="A2316" t="inlineStr">
        <is>
          <t>第4圈 [对子]: 玩4首出 → [玩4:♣Q ♦Q | 玩1:♦5 ♥6 | 玩2:♦2 小王 | 玩3:大王] → 赢: 玩3(大王) 分=5</t>
        </is>
      </c>
    </row>
    <row r="2317">
      <c r="A2317" t="inlineStr">
        <is>
          <t>第5圈 [单张]: 玩3首出 → [玩3:♣6 | 玩4:♣10 | 玩1:♦8 | 玩2:♣K] → 赢: 玩2(♣K) 分=20</t>
        </is>
      </c>
    </row>
    <row r="2318">
      <c r="A2318" t="inlineStr">
        <is>
          <t>第6圈 [单张]: 玩2首出 → [玩2:♠8 | 玩3:♠Q | 玩4:♠10 | 玩1:♦9] → 赢: 玩3(♠Q) 分=10</t>
        </is>
      </c>
    </row>
    <row r="2319">
      <c r="A2319" t="inlineStr">
        <is>
          <t>第7圈 [单张]: 玩3首出 → [玩3:♦7 | 玩4:♥Q | 玩1:♦K | 玩2:♥5] → 赢: 玩1(♦K) 分=15</t>
        </is>
      </c>
    </row>
    <row r="2320">
      <c r="A2320" t="inlineStr">
        <is>
          <t>第8圈 [单张]: 玩1首出 → [玩1:♥9 | 玩2:♠5 | 玩3:♥10 | 玩4:♥A] → 赢: 玩4(♥A) 分=15</t>
        </is>
      </c>
    </row>
    <row r="2321">
      <c r="A2321" t="inlineStr">
        <is>
          <t>第9圈 [单张]: 玩4首出 → [玩4:♥2 | 玩1:♥J | 玩2:♠K | 玩3:♥8] → 赢: 玩4(♥2) 分=10</t>
        </is>
      </c>
    </row>
    <row r="2322">
      <c r="A2322" t="inlineStr">
        <is>
          <t>第10圈 [单张]: 玩4首出 → [玩4:无 | 玩1:无 | 玩2:无 | 玩3:♠A] → 赢: 玩3(♠A) 分=0</t>
        </is>
      </c>
    </row>
    <row r="2323">
      <c r="A2323" t="inlineStr">
        <is>
          <t>抓分方总分=90</t>
        </is>
      </c>
    </row>
    <row r="2324">
      <c r="A2324" t="inlineStr">
        <is>
          <t>结算: 抓分=90 扣底=是 庄方+0 抓方+9</t>
        </is>
      </c>
    </row>
    <row r="2325">
      <c r="A2325" t="inlineStr">
        <is>
          <t>级牌: 庄方 7→7 | 抓方 7→16</t>
        </is>
      </c>
    </row>
    <row r="2326">
      <c r="A2326" t="inlineStr">
        <is>
          <t>⚠️ 抓分方 16 &gt; 7，强制停在7，获得庄权，需再守庄一局</t>
        </is>
      </c>
    </row>
    <row r="2327">
      <c r="A2327" t="inlineStr">
        <is>
          <t>庄家变更: → 玩1</t>
        </is>
      </c>
    </row>
    <row r="2328">
      <c r="A2328" t="inlineStr">
        <is>
          <t>级牌重置: 庄家方=7 抓分方=7</t>
        </is>
      </c>
    </row>
    <row r="2329">
      <c r="A2329" t="inlineStr">
        <is>
          <t>守庄失败，对方上台继续</t>
        </is>
      </c>
    </row>
    <row r="2330">
      <c r="A2330" t="inlineStr">
        <is>
          <t>第44局结束 | 庄家方=7 抓分方=7</t>
        </is>
      </c>
    </row>
    <row r="2331">
      <c r="A2331" s="8" t="inlineStr">
        <is>
          <t>📊 结算</t>
        </is>
      </c>
    </row>
    <row r="2332">
      <c r="A2332" s="9" t="inlineStr">
        <is>
          <t>抓分方得分</t>
        </is>
      </c>
      <c r="C2332" t="inlineStr">
        <is>
          <t>90</t>
        </is>
      </c>
    </row>
    <row r="2333">
      <c r="A2333" s="9" t="inlineStr">
        <is>
          <t>是否扣底</t>
        </is>
      </c>
      <c r="C2333" t="inlineStr">
        <is>
          <t>是</t>
        </is>
      </c>
    </row>
    <row r="2334">
      <c r="A2334" s="9" t="inlineStr">
        <is>
          <t>扣底牌</t>
        </is>
      </c>
      <c r="C2334" t="inlineStr">
        <is>
          <t>♠A</t>
        </is>
      </c>
    </row>
    <row r="2335">
      <c r="A2335" s="9" t="inlineStr">
        <is>
          <t>基础升级 抓方</t>
        </is>
      </c>
      <c r="C2335" t="inlineStr">
        <is>
          <t>+6</t>
        </is>
      </c>
    </row>
    <row r="2336">
      <c r="A2336" s="9" t="inlineStr">
        <is>
          <t>扣底加成</t>
        </is>
      </c>
      <c r="C2336" t="inlineStr">
        <is>
          <t>+3</t>
        </is>
      </c>
    </row>
    <row r="2337">
      <c r="A2337" s="9" t="inlineStr">
        <is>
          <t>总升级 抓方</t>
        </is>
      </c>
      <c r="C2337" t="inlineStr">
        <is>
          <t>+9</t>
        </is>
      </c>
    </row>
    <row r="2338">
      <c r="A2338" s="9" t="inlineStr">
        <is>
          <t>总升级 庄方</t>
        </is>
      </c>
      <c r="C2338" t="inlineStr">
        <is>
          <t>+0</t>
        </is>
      </c>
    </row>
    <row r="2339">
      <c r="A2339" s="9" t="inlineStr">
        <is>
          <t>结果</t>
        </is>
      </c>
      <c r="C2339" t="inlineStr">
        <is>
          <t>上台过7（需守庄）</t>
        </is>
      </c>
    </row>
    <row r="2342">
      <c r="A2342" s="6" t="inlineStr">
        <is>
          <t>═══ 第45局 ─ 上台过7（需守庄） ═══</t>
        </is>
      </c>
    </row>
    <row r="2343">
      <c r="A2343" s="7" t="inlineStr">
        <is>
          <t>庄家</t>
        </is>
      </c>
      <c r="C2343" t="inlineStr">
        <is>
          <t>玩家1</t>
        </is>
      </c>
    </row>
    <row r="2344">
      <c r="A2344" s="7" t="inlineStr">
        <is>
          <t>庄家方级牌</t>
        </is>
      </c>
      <c r="C2344" t="inlineStr">
        <is>
          <t>7</t>
        </is>
      </c>
    </row>
    <row r="2345">
      <c r="A2345" s="7" t="inlineStr">
        <is>
          <t>抓分方级牌</t>
        </is>
      </c>
      <c r="C2345" t="inlineStr">
        <is>
          <t>7</t>
        </is>
      </c>
    </row>
    <row r="2346">
      <c r="A2346" s="7" t="inlineStr">
        <is>
          <t>本局级牌</t>
        </is>
      </c>
      <c r="C2346" t="inlineStr">
        <is>
          <t>7</t>
        </is>
      </c>
    </row>
    <row r="2347">
      <c r="A2347" s="7" t="inlineStr">
        <is>
          <t>庄家阵营</t>
        </is>
      </c>
      <c r="C2347" t="inlineStr">
        <is>
          <t>玩家1、玩家3</t>
        </is>
      </c>
    </row>
    <row r="2348">
      <c r="A2348" s="7" t="inlineStr">
        <is>
          <t>抓分阵营</t>
        </is>
      </c>
      <c r="C2348" t="inlineStr">
        <is>
          <t>玩家2、玩家4</t>
        </is>
      </c>
    </row>
    <row r="2349">
      <c r="A2349" s="7" t="inlineStr">
        <is>
          <t>定主方式</t>
        </is>
      </c>
      <c r="C2349" t="inlineStr">
        <is>
          <t>bottom_card</t>
        </is>
      </c>
    </row>
    <row r="2350">
      <c r="A2350" s="7" t="inlineStr">
        <is>
          <t>主花色</t>
        </is>
      </c>
      <c r="C2350" t="inlineStr">
        <is>
          <t>黑桃</t>
        </is>
      </c>
    </row>
    <row r="2351">
      <c r="A2351" s="8" t="inlineStr">
        <is>
          <t>📋 初始手牌</t>
        </is>
      </c>
    </row>
    <row r="2352">
      <c r="A2352" t="inlineStr">
        <is>
          <t>玩家1</t>
        </is>
      </c>
      <c r="B2352" t="inlineStr">
        <is>
          <t>♥8 ♦Q ♥10 ♦10 ♦9 ♣8 ♠5 ♥3 ♦K ♣10 ♠10 ♥K</t>
        </is>
      </c>
    </row>
    <row r="2353">
      <c r="A2353" t="inlineStr">
        <is>
          <t>玩家2</t>
        </is>
      </c>
      <c r="B2353" t="inlineStr">
        <is>
          <t>♣5 ♣Q ♣6 ♦8 ♥A 小王 ♣J ♠4 ♠2 ♦6 ♥9 ♠A</t>
        </is>
      </c>
    </row>
    <row r="2354">
      <c r="A2354" t="inlineStr">
        <is>
          <t>玩家3</t>
        </is>
      </c>
      <c r="B2354" t="inlineStr">
        <is>
          <t>♠7 大王 ♥5 ♦4 ♥2 ♣7 ♣3 ♣4 ♠3 ♥Q ♠J ♥7</t>
        </is>
      </c>
    </row>
    <row r="2355">
      <c r="A2355" t="inlineStr">
        <is>
          <t>玩家4</t>
        </is>
      </c>
      <c r="B2355" t="inlineStr">
        <is>
          <t>♥4 ♣K ♠K ♥6 ♠6 ♠8 ♠Q ♦5 ♦7 ♦J ♣2 ♦2</t>
        </is>
      </c>
    </row>
    <row r="2356">
      <c r="A2356" s="8" t="inlineStr">
        <is>
          <t>📦 底牌信息</t>
        </is>
      </c>
    </row>
    <row r="2357">
      <c r="A2357" t="inlineStr">
        <is>
          <t>初始底牌</t>
        </is>
      </c>
      <c r="B2357" t="inlineStr">
        <is>
          <t>♠9 ♦A ♣9 ♣A ♥J ♦3</t>
        </is>
      </c>
    </row>
    <row r="2358">
      <c r="A2358" t="inlineStr">
        <is>
          <t>庄家埋入</t>
        </is>
      </c>
      <c r="B2358" t="inlineStr">
        <is>
          <t>♥8 ♣8 ♦9 ♦Q ♠5</t>
        </is>
      </c>
      <c r="D2358" t="inlineStr">
        <is>
          <t>♦3 ♥8 ♣8 ♦9 ♦Q ♠5</t>
        </is>
      </c>
      <c r="E2358" t="inlineStr">
        <is>
          <t>分值=5</t>
        </is>
      </c>
    </row>
    <row r="2359">
      <c r="A2359" s="8" t="inlineStr">
        <is>
          <t>📝 操作日志</t>
        </is>
      </c>
    </row>
    <row r="2360">
      <c r="A2360">
        <f>== 第45局 ===</f>
        <v/>
      </c>
    </row>
    <row r="2361">
      <c r="A2361" t="inlineStr">
        <is>
          <t>庄家方级牌=7, 抓分方级牌=7, 庄家=玩家1</t>
        </is>
      </c>
    </row>
    <row r="2362">
      <c r="A2362" t="inlineStr">
        <is>
          <t>庄家阵营: 玩1、玩3 | 抓分阵营: 玩2、玩4</t>
        </is>
      </c>
    </row>
    <row r="2363">
      <c r="A2363" t="inlineStr">
        <is>
          <t>发牌完成 | 底牌: ♠9 ♦A ♣9 ♣A ♥J ♦3</t>
        </is>
      </c>
    </row>
    <row r="2364">
      <c r="A2364" t="inlineStr">
        <is>
          <t>【底牌首张定主】♠9 → 主=黑桃</t>
        </is>
      </c>
    </row>
    <row r="2365">
      <c r="A2365" t="inlineStr">
        <is>
          <t>【埋底】庄家（玩1）埋 ♥8 ♣8 ♦9 ♦Q ♠5, 取回 ♠9 ♦A ♣9 ♣A ♥J</t>
        </is>
      </c>
    </row>
    <row r="2366">
      <c r="A2366" t="inlineStr">
        <is>
          <t xml:space="preserve">  埋底后底牌: ♦3 ♥8 ♣8 ♦9 ♦Q ♠5 (分值=5)</t>
        </is>
      </c>
    </row>
    <row r="2367">
      <c r="A2367" t="inlineStr">
        <is>
          <t>第1圈 [对子]: 玩1首出 → [玩1:♦A ♣A | 玩2:♦6 ♦8 | 玩3:♣3 ♠3 | 玩4:♦2 ♦5] → 赢: 玩4(♦2) 分=5</t>
        </is>
      </c>
    </row>
    <row r="2368">
      <c r="A2368" t="inlineStr">
        <is>
          <t>第2圈 [对子]: 玩4首出 → [玩4:♥6 ♠6 | 玩1:♥3 ♥10 | 玩2:♥9 ♥A | 玩3:♥2 ♥5] → 赢: 玩1(♥3) 分=15</t>
        </is>
      </c>
    </row>
    <row r="2369">
      <c r="A2369" t="inlineStr">
        <is>
          <t>第3圈 [对子]: 玩1首出 → [玩1:♠9 ♣9 | 玩2:♠2 ♠4 | 玩3:♠7 ♠J | 玩4:♠8 ♠Q] → 赢: 玩2(♠2) 分=0</t>
        </is>
      </c>
    </row>
    <row r="2370">
      <c r="A2370" t="inlineStr">
        <is>
          <t>第4圈 [单张]: 玩2首出 → [玩2:♣6 | 玩3:♣4 | 玩4:♣2 | 玩1:♣10] → 赢: 玩4(♣2) 分=10</t>
        </is>
      </c>
    </row>
    <row r="2371">
      <c r="A2371" t="inlineStr">
        <is>
          <t>第5圈 [单张]: 玩4首出 → [玩4:♥4 | 玩1:♥J | 玩2:♣5 | 玩3:♥Q] → 赢: 玩3(♥Q) 分=5</t>
        </is>
      </c>
    </row>
    <row r="2372">
      <c r="A2372" t="inlineStr">
        <is>
          <t>第6圈 [对子]: 玩3首出 → [玩3:♣7 ♥7 | 玩4:♦7 ♦J | 玩1:♦10 ♠10 | 玩2:♣J ♣Q] → 赢: 玩2(♣Q) 分=20</t>
        </is>
      </c>
    </row>
    <row r="2373">
      <c r="A2373" t="inlineStr">
        <is>
          <t>第7圈 [单张]: 玩2首出 → [玩2:♠A | 玩3:♦4 | 玩4:♠K | 玩1:♦K] → 赢: 玩2(♠A) 分=20</t>
        </is>
      </c>
    </row>
    <row r="2374">
      <c r="A2374" t="inlineStr">
        <is>
          <t>第8圈 [单张]: 玩2首出 → [玩2:小王 | 玩3:大王 | 玩4:♣K | 玩1:♥K] → 赢: 玩3(大王) 分=20</t>
        </is>
      </c>
    </row>
    <row r="2375">
      <c r="A2375" t="inlineStr">
        <is>
          <t>抓分方总分=95</t>
        </is>
      </c>
    </row>
    <row r="2376">
      <c r="A2376" t="inlineStr">
        <is>
          <t>结算: 抓分=95 扣底=否 庄方+0 抓方+6</t>
        </is>
      </c>
    </row>
    <row r="2377">
      <c r="A2377" t="inlineStr">
        <is>
          <t>级牌: 庄方 7→7 | 抓方 7→13</t>
        </is>
      </c>
    </row>
    <row r="2378">
      <c r="A2378" t="inlineStr">
        <is>
          <t>⚠️ 抓分方 13 &gt; 7，强制停在7，获得庄权，需再守庄一局</t>
        </is>
      </c>
    </row>
    <row r="2379">
      <c r="A2379" t="inlineStr">
        <is>
          <t>庄家变更: → 玩2</t>
        </is>
      </c>
    </row>
    <row r="2380">
      <c r="A2380" t="inlineStr">
        <is>
          <t>级牌重置: 庄家方=7 抓分方=7</t>
        </is>
      </c>
    </row>
    <row r="2381">
      <c r="A2381" t="inlineStr">
        <is>
          <t>守庄失败，对方上台继续</t>
        </is>
      </c>
    </row>
    <row r="2382">
      <c r="A2382" t="inlineStr">
        <is>
          <t>第45局结束 | 庄家方=7 抓分方=7</t>
        </is>
      </c>
    </row>
    <row r="2383">
      <c r="A2383" s="8" t="inlineStr">
        <is>
          <t>📊 结算</t>
        </is>
      </c>
    </row>
    <row r="2384">
      <c r="A2384" s="9" t="inlineStr">
        <is>
          <t>抓分方得分</t>
        </is>
      </c>
      <c r="C2384" t="inlineStr">
        <is>
          <t>95</t>
        </is>
      </c>
    </row>
    <row r="2385">
      <c r="A2385" s="9" t="inlineStr">
        <is>
          <t>是否扣底</t>
        </is>
      </c>
      <c r="C2385" t="inlineStr">
        <is>
          <t>否</t>
        </is>
      </c>
    </row>
    <row r="2386">
      <c r="A2386" s="9" t="inlineStr">
        <is>
          <t>扣底牌</t>
        </is>
      </c>
      <c r="C2386" t="inlineStr">
        <is>
          <t>大王</t>
        </is>
      </c>
    </row>
    <row r="2387">
      <c r="A2387" s="9" t="inlineStr">
        <is>
          <t>基础升级 抓方</t>
        </is>
      </c>
      <c r="C2387" t="inlineStr">
        <is>
          <t>+6</t>
        </is>
      </c>
    </row>
    <row r="2388">
      <c r="A2388" s="9" t="inlineStr">
        <is>
          <t>扣底加成</t>
        </is>
      </c>
      <c r="C2388" t="inlineStr">
        <is>
          <t>无</t>
        </is>
      </c>
    </row>
    <row r="2389">
      <c r="A2389" s="9" t="inlineStr">
        <is>
          <t>总升级 抓方</t>
        </is>
      </c>
      <c r="C2389" t="inlineStr">
        <is>
          <t>+6</t>
        </is>
      </c>
    </row>
    <row r="2390">
      <c r="A2390" s="9" t="inlineStr">
        <is>
          <t>总升级 庄方</t>
        </is>
      </c>
      <c r="C2390" t="inlineStr">
        <is>
          <t>+0</t>
        </is>
      </c>
    </row>
    <row r="2391">
      <c r="A2391" s="9" t="inlineStr">
        <is>
          <t>结果</t>
        </is>
      </c>
      <c r="C2391" t="inlineStr">
        <is>
          <t>上台过7（需守庄）</t>
        </is>
      </c>
    </row>
    <row r="2394">
      <c r="A2394" s="6" t="inlineStr">
        <is>
          <t>═══ 第46局 ─ 上台过7（需守庄） ═══</t>
        </is>
      </c>
    </row>
    <row r="2395">
      <c r="A2395" s="7" t="inlineStr">
        <is>
          <t>庄家</t>
        </is>
      </c>
      <c r="C2395" t="inlineStr">
        <is>
          <t>玩家2</t>
        </is>
      </c>
    </row>
    <row r="2396">
      <c r="A2396" s="7" t="inlineStr">
        <is>
          <t>庄家方级牌</t>
        </is>
      </c>
      <c r="C2396" t="inlineStr">
        <is>
          <t>7</t>
        </is>
      </c>
    </row>
    <row r="2397">
      <c r="A2397" s="7" t="inlineStr">
        <is>
          <t>抓分方级牌</t>
        </is>
      </c>
      <c r="C2397" t="inlineStr">
        <is>
          <t>7</t>
        </is>
      </c>
    </row>
    <row r="2398">
      <c r="A2398" s="7" t="inlineStr">
        <is>
          <t>本局级牌</t>
        </is>
      </c>
      <c r="C2398" t="inlineStr">
        <is>
          <t>7</t>
        </is>
      </c>
    </row>
    <row r="2399">
      <c r="A2399" s="7" t="inlineStr">
        <is>
          <t>庄家阵营</t>
        </is>
      </c>
      <c r="C2399" t="inlineStr">
        <is>
          <t>玩家2、玩家4</t>
        </is>
      </c>
    </row>
    <row r="2400">
      <c r="A2400" s="7" t="inlineStr">
        <is>
          <t>抓分阵营</t>
        </is>
      </c>
      <c r="C2400" t="inlineStr">
        <is>
          <t>玩家3、玩家1</t>
        </is>
      </c>
    </row>
    <row r="2401">
      <c r="A2401" s="7" t="inlineStr">
        <is>
          <t>定主方式</t>
        </is>
      </c>
      <c r="C2401" t="inlineStr">
        <is>
          <t>bottom_card</t>
        </is>
      </c>
    </row>
    <row r="2402">
      <c r="A2402" s="7" t="inlineStr">
        <is>
          <t>主花色</t>
        </is>
      </c>
      <c r="C2402" t="inlineStr">
        <is>
          <t>黑桃</t>
        </is>
      </c>
    </row>
    <row r="2403">
      <c r="A2403" s="8" t="inlineStr">
        <is>
          <t>📋 初始手牌</t>
        </is>
      </c>
    </row>
    <row r="2404">
      <c r="A2404" t="inlineStr">
        <is>
          <t>玩家1</t>
        </is>
      </c>
      <c r="B2404" t="inlineStr">
        <is>
          <t>小王 ♦A ♦9 ♠4 ♠3 ♥6 ♥J ♦K ♣A ♥K ♥10 ♥9</t>
        </is>
      </c>
    </row>
    <row r="2405">
      <c r="A2405" t="inlineStr">
        <is>
          <t>玩家2</t>
        </is>
      </c>
      <c r="B2405" t="inlineStr">
        <is>
          <t>♣2 ♠8 ♦J ♣4 ♠7 ♣5 ♥8 ♠10 ♥Q ♦2 ♥4 ♠2</t>
        </is>
      </c>
    </row>
    <row r="2406">
      <c r="A2406" t="inlineStr">
        <is>
          <t>玩家3</t>
        </is>
      </c>
      <c r="B2406" t="inlineStr">
        <is>
          <t>♦8 ♥3 ♠6 ♥2 ♠Q ♠A ♥5 ♣K ♦Q ♦10 ♦5 大王</t>
        </is>
      </c>
    </row>
    <row r="2407">
      <c r="A2407" t="inlineStr">
        <is>
          <t>玩家4</t>
        </is>
      </c>
      <c r="B2407" t="inlineStr">
        <is>
          <t>♠5 ♣3 ♣10 ♣9 ♦7 ♦4 ♣7 ♠9 ♣J ♣6 ♥A ♦3</t>
        </is>
      </c>
    </row>
    <row r="2408">
      <c r="A2408" s="8" t="inlineStr">
        <is>
          <t>📦 底牌信息</t>
        </is>
      </c>
    </row>
    <row r="2409">
      <c r="A2409" t="inlineStr">
        <is>
          <t>初始底牌</t>
        </is>
      </c>
      <c r="B2409" t="inlineStr">
        <is>
          <t>♠K ♦6 ♣8 ♥7 ♣Q ♠J</t>
        </is>
      </c>
    </row>
    <row r="2410">
      <c r="A2410" t="inlineStr">
        <is>
          <t>庄家埋入</t>
        </is>
      </c>
      <c r="B2410" t="inlineStr">
        <is>
          <t>♣4 ♥4 ♠7 ♠8</t>
        </is>
      </c>
      <c r="D2410" t="inlineStr">
        <is>
          <t>♣Q ♠J ♣4 ♥4 ♠7 ♠8</t>
        </is>
      </c>
      <c r="E2410" t="inlineStr">
        <is>
          <t>分值=0</t>
        </is>
      </c>
    </row>
    <row r="2411">
      <c r="A2411" s="8" t="inlineStr">
        <is>
          <t>📝 操作日志</t>
        </is>
      </c>
    </row>
    <row r="2412">
      <c r="A2412">
        <f>== 第46局 ===</f>
        <v/>
      </c>
    </row>
    <row r="2413">
      <c r="A2413" t="inlineStr">
        <is>
          <t>庄家方级牌=7, 抓分方级牌=7, 庄家=玩家2</t>
        </is>
      </c>
    </row>
    <row r="2414">
      <c r="A2414" t="inlineStr">
        <is>
          <t>庄家阵营: 玩2、玩4 | 抓分阵营: 玩3、玩1</t>
        </is>
      </c>
    </row>
    <row r="2415">
      <c r="A2415" t="inlineStr">
        <is>
          <t>发牌完成 | 底牌: ♠K ♦6 ♣8 ♥7 ♣Q ♠J</t>
        </is>
      </c>
    </row>
    <row r="2416">
      <c r="A2416" t="inlineStr">
        <is>
          <t>【底牌首张定主】♠K → 主=黑桃</t>
        </is>
      </c>
    </row>
    <row r="2417">
      <c r="A2417" t="inlineStr">
        <is>
          <t>【埋底】庄家（玩2）埋 ♣4 ♥4 ♠7 ♠8, 取回 ♠K ♦6 ♣8 ♥7</t>
        </is>
      </c>
    </row>
    <row r="2418">
      <c r="A2418" t="inlineStr">
        <is>
          <t xml:space="preserve">  埋底后底牌: ♣Q ♠J ♣4 ♥4 ♠7 ♠8 (分值=0)</t>
        </is>
      </c>
    </row>
    <row r="2419">
      <c r="A2419" t="inlineStr">
        <is>
          <t>第1圈 [对子]: 玩2首出 → [玩2:♥8 ♣8 | 玩3:♥2 ♥3 | 玩4:♣3 ♦3 | 玩1:♥6 ♥9] → 赢: 玩3(♥3) 分=0</t>
        </is>
      </c>
    </row>
    <row r="2420">
      <c r="A2420" t="inlineStr">
        <is>
          <t>第2圈 [对子]: 玩3首出 → [玩3:♠Q ♦Q | 玩4:♠5 ♠9 | 玩1:♠3 ♠4 | 玩2:♠2 ♠10] → 赢: 玩2(♠2) 分=15</t>
        </is>
      </c>
    </row>
    <row r="2421">
      <c r="A2421" t="inlineStr">
        <is>
          <t>第3圈 [对子]: 玩2首出 → [玩2:♣2 ♦2 | 玩3:♥5 ♦5 | 玩4:♣6 ♣7 | 玩1:小王] → 赢: 玩1(小王) 分=10</t>
        </is>
      </c>
    </row>
    <row r="2422">
      <c r="A2422" t="inlineStr">
        <is>
          <t>第4圈 [对子]: 玩1首出 → [玩1:♦A ♣A | 玩2:♦6 ♦J | 玩3:♦8 ♦10 | 玩4:♦4 ♦7] → 赢: 玩1(♦A) 分=10</t>
        </is>
      </c>
    </row>
    <row r="2423">
      <c r="A2423" t="inlineStr">
        <is>
          <t>第5圈 [单张]: 玩1首出 → [玩1:♦9 | 玩2:♣5 | 玩3:大王 | 玩4:♣9] → 赢: 玩3(大王) 分=5</t>
        </is>
      </c>
    </row>
    <row r="2424">
      <c r="A2424" t="inlineStr">
        <is>
          <t>第6圈 [单张]: 玩3首出 → [玩3:♠6 | 玩4:♣10 | 玩1:♥10 | 玩2:♠K] → 赢: 玩2(♠K) 分=30</t>
        </is>
      </c>
    </row>
    <row r="2425">
      <c r="A2425" t="inlineStr">
        <is>
          <t>第7圈 [单张]: 玩2首出 → [玩2:♥7 | 玩3:♣K | 玩4:♥A | 玩1:♥J] → 赢: 玩4(♥A) 分=10</t>
        </is>
      </c>
    </row>
    <row r="2426">
      <c r="A2426" t="inlineStr">
        <is>
          <t>第8圈 [单张]: 玩4首出 → [玩4:♣J | 玩1:♦K | 玩2:♥Q | 玩3:♠A] → 赢: 玩4(♣J) 分=10</t>
        </is>
      </c>
    </row>
    <row r="2427">
      <c r="A2427" t="inlineStr">
        <is>
          <t>第9圈 [单张]: 玩4首出 → [玩4:无 | 玩1:♥K | 玩2:无 | 玩3:无] → 赢: 玩1(♥K) 分=10</t>
        </is>
      </c>
    </row>
    <row r="2428">
      <c r="A2428" t="inlineStr">
        <is>
          <t>抓分方总分=100</t>
        </is>
      </c>
    </row>
    <row r="2429">
      <c r="A2429" t="inlineStr">
        <is>
          <t>结算: 抓分=100 扣底=是 庄方+0 抓方+9</t>
        </is>
      </c>
    </row>
    <row r="2430">
      <c r="A2430" t="inlineStr">
        <is>
          <t>级牌: 庄方 7→7 | 抓方 7→16</t>
        </is>
      </c>
    </row>
    <row r="2431">
      <c r="A2431" t="inlineStr">
        <is>
          <t>⚠️ 抓分方 16 &gt; 7，强制停在7，获得庄权，需再守庄一局</t>
        </is>
      </c>
    </row>
    <row r="2432">
      <c r="A2432" t="inlineStr">
        <is>
          <t>庄家变更: → 玩3</t>
        </is>
      </c>
    </row>
    <row r="2433">
      <c r="A2433" t="inlineStr">
        <is>
          <t>级牌重置: 庄家方=7 抓分方=7</t>
        </is>
      </c>
    </row>
    <row r="2434">
      <c r="A2434" t="inlineStr">
        <is>
          <t>守庄失败，对方上台继续</t>
        </is>
      </c>
    </row>
    <row r="2435">
      <c r="A2435" t="inlineStr">
        <is>
          <t>第46局结束 | 庄家方=7 抓分方=7</t>
        </is>
      </c>
    </row>
    <row r="2436">
      <c r="A2436" s="8" t="inlineStr">
        <is>
          <t>📊 结算</t>
        </is>
      </c>
    </row>
    <row r="2437">
      <c r="A2437" s="9" t="inlineStr">
        <is>
          <t>抓分方得分</t>
        </is>
      </c>
      <c r="C2437" t="inlineStr">
        <is>
          <t>100</t>
        </is>
      </c>
    </row>
    <row r="2438">
      <c r="A2438" s="9" t="inlineStr">
        <is>
          <t>是否扣底</t>
        </is>
      </c>
      <c r="C2438" t="inlineStr">
        <is>
          <t>是</t>
        </is>
      </c>
    </row>
    <row r="2439">
      <c r="A2439" s="9" t="inlineStr">
        <is>
          <t>扣底牌</t>
        </is>
      </c>
      <c r="C2439" t="inlineStr">
        <is>
          <t>♥K</t>
        </is>
      </c>
    </row>
    <row r="2440">
      <c r="A2440" s="9" t="inlineStr">
        <is>
          <t>基础升级 抓方</t>
        </is>
      </c>
      <c r="C2440" t="inlineStr">
        <is>
          <t>+6</t>
        </is>
      </c>
    </row>
    <row r="2441">
      <c r="A2441" s="9" t="inlineStr">
        <is>
          <t>扣底加成</t>
        </is>
      </c>
      <c r="C2441" t="inlineStr">
        <is>
          <t>+3</t>
        </is>
      </c>
    </row>
    <row r="2442">
      <c r="A2442" s="9" t="inlineStr">
        <is>
          <t>总升级 抓方</t>
        </is>
      </c>
      <c r="C2442" t="inlineStr">
        <is>
          <t>+9</t>
        </is>
      </c>
    </row>
    <row r="2443">
      <c r="A2443" s="9" t="inlineStr">
        <is>
          <t>总升级 庄方</t>
        </is>
      </c>
      <c r="C2443" t="inlineStr">
        <is>
          <t>+0</t>
        </is>
      </c>
    </row>
    <row r="2444">
      <c r="A2444" s="9" t="inlineStr">
        <is>
          <t>结果</t>
        </is>
      </c>
      <c r="C2444" t="inlineStr">
        <is>
          <t>上台过7（需守庄）</t>
        </is>
      </c>
    </row>
    <row r="2447">
      <c r="A2447" s="6" t="inlineStr">
        <is>
          <t>═══ 第47局 ─ 上台过7（需守庄） ═══</t>
        </is>
      </c>
    </row>
    <row r="2448">
      <c r="A2448" s="7" t="inlineStr">
        <is>
          <t>庄家</t>
        </is>
      </c>
      <c r="C2448" t="inlineStr">
        <is>
          <t>玩家3</t>
        </is>
      </c>
    </row>
    <row r="2449">
      <c r="A2449" s="7" t="inlineStr">
        <is>
          <t>庄家方级牌</t>
        </is>
      </c>
      <c r="C2449" t="inlineStr">
        <is>
          <t>7</t>
        </is>
      </c>
    </row>
    <row r="2450">
      <c r="A2450" s="7" t="inlineStr">
        <is>
          <t>抓分方级牌</t>
        </is>
      </c>
      <c r="C2450" t="inlineStr">
        <is>
          <t>7</t>
        </is>
      </c>
    </row>
    <row r="2451">
      <c r="A2451" s="7" t="inlineStr">
        <is>
          <t>本局级牌</t>
        </is>
      </c>
      <c r="C2451" t="inlineStr">
        <is>
          <t>7</t>
        </is>
      </c>
    </row>
    <row r="2452">
      <c r="A2452" s="7" t="inlineStr">
        <is>
          <t>庄家阵营</t>
        </is>
      </c>
      <c r="C2452" t="inlineStr">
        <is>
          <t>玩家3、玩家1</t>
        </is>
      </c>
    </row>
    <row r="2453">
      <c r="A2453" s="7" t="inlineStr">
        <is>
          <t>抓分阵营</t>
        </is>
      </c>
      <c r="C2453" t="inlineStr">
        <is>
          <t>玩家4、玩家2</t>
        </is>
      </c>
    </row>
    <row r="2454">
      <c r="A2454" s="7" t="inlineStr">
        <is>
          <t>定主方式</t>
        </is>
      </c>
      <c r="C2454" t="inlineStr">
        <is>
          <t>bottom_card</t>
        </is>
      </c>
    </row>
    <row r="2455">
      <c r="A2455" s="7" t="inlineStr">
        <is>
          <t>主花色</t>
        </is>
      </c>
      <c r="C2455" t="inlineStr">
        <is>
          <t>红桃</t>
        </is>
      </c>
    </row>
    <row r="2456">
      <c r="A2456" s="8" t="inlineStr">
        <is>
          <t>📋 初始手牌</t>
        </is>
      </c>
    </row>
    <row r="2457">
      <c r="A2457" t="inlineStr">
        <is>
          <t>玩家1</t>
        </is>
      </c>
      <c r="B2457" t="inlineStr">
        <is>
          <t>♦2 ♥K ♦4 ♥7 ♣K ♠5 ♥8 ♥3 ♠8 ♦A ♥5 ♦7</t>
        </is>
      </c>
    </row>
    <row r="2458">
      <c r="A2458" t="inlineStr">
        <is>
          <t>玩家2</t>
        </is>
      </c>
      <c r="B2458" t="inlineStr">
        <is>
          <t>♥10 ♠Q ♥6 ♣A ♣3 ♠6 ♠A ♠10 ♥9 ♣5 ♠K ♣8</t>
        </is>
      </c>
    </row>
    <row r="2459">
      <c r="A2459" t="inlineStr">
        <is>
          <t>玩家3</t>
        </is>
      </c>
      <c r="B2459" t="inlineStr">
        <is>
          <t>♦9 ♦8 ♣2 ♥A ♠9 ♦K ♥4 ♠3 ♥J ♠4 ♠7 ♥2</t>
        </is>
      </c>
    </row>
    <row r="2460">
      <c r="A2460" t="inlineStr">
        <is>
          <t>玩家4</t>
        </is>
      </c>
      <c r="B2460" t="inlineStr">
        <is>
          <t>♣J ♦6 ♦Q ♣Q ♥Q ♣7 小王 ♠2 ♦10 ♦5 ♣10 ♦3</t>
        </is>
      </c>
    </row>
    <row r="2461">
      <c r="A2461" s="8" t="inlineStr">
        <is>
          <t>📦 底牌信息</t>
        </is>
      </c>
    </row>
    <row r="2462">
      <c r="A2462" t="inlineStr">
        <is>
          <t>初始底牌</t>
        </is>
      </c>
      <c r="B2462" t="inlineStr">
        <is>
          <t>大王 ♦J ♣4 ♠J ♣6 ♣9</t>
        </is>
      </c>
    </row>
    <row r="2463">
      <c r="A2463" t="inlineStr">
        <is>
          <t>庄家埋入</t>
        </is>
      </c>
      <c r="B2463" t="inlineStr">
        <is>
          <t>♠3 ♥4 ♠4 ♠7</t>
        </is>
      </c>
      <c r="D2463" t="inlineStr">
        <is>
          <t>♣6 ♣9 ♠3 ♥4 ♠4 ♠7</t>
        </is>
      </c>
      <c r="E2463" t="inlineStr">
        <is>
          <t>分值=0</t>
        </is>
      </c>
    </row>
    <row r="2464">
      <c r="A2464" s="8" t="inlineStr">
        <is>
          <t>📝 操作日志</t>
        </is>
      </c>
    </row>
    <row r="2465">
      <c r="A2465">
        <f>== 第47局 ===</f>
        <v/>
      </c>
    </row>
    <row r="2466">
      <c r="A2466" t="inlineStr">
        <is>
          <t>庄家方级牌=7, 抓分方级牌=7, 庄家=玩家3</t>
        </is>
      </c>
    </row>
    <row r="2467">
      <c r="A2467" t="inlineStr">
        <is>
          <t>庄家阵营: 玩3、玩1 | 抓分阵营: 玩4、玩2</t>
        </is>
      </c>
    </row>
    <row r="2468">
      <c r="A2468" t="inlineStr">
        <is>
          <t>发牌完成 | 底牌: 大王 ♦J ♣4 ♠J ♣6 ♣9</t>
        </is>
      </c>
    </row>
    <row r="2469">
      <c r="A2469" t="inlineStr">
        <is>
          <t>【底牌首张定主】大王 → 主=红桃</t>
        </is>
      </c>
    </row>
    <row r="2470">
      <c r="A2470" t="inlineStr">
        <is>
          <t>【埋底】庄家（玩3）埋 ♠3 ♥4 ♠4 ♠7, 取回 大王 ♦J ♣4 ♠J</t>
        </is>
      </c>
    </row>
    <row r="2471">
      <c r="A2471" t="inlineStr">
        <is>
          <t xml:space="preserve">  埋底后底牌: ♣6 ♣9 ♠3 ♥4 ♠4 ♠7 (分值=0)</t>
        </is>
      </c>
    </row>
    <row r="2472">
      <c r="A2472" t="inlineStr">
        <is>
          <t>第1圈 [对子]: 玩3首出 → [玩3:♦9 ♠9 | 玩4:♦3 ♦5 | 玩1:♦2 ♦4 | 玩2:♣3 ♣5] → 赢: 玩1(♦2) 分=10</t>
        </is>
      </c>
    </row>
    <row r="2473">
      <c r="A2473" t="inlineStr">
        <is>
          <t>第2圈 [对子]: 玩1首出 → [玩1:♥7 ♦7 | 玩2:♥6 ♥9 | 玩3:♥2 ♥J | 玩4:♦6 ♣7] → 赢: 玩3(♥2) 分=0</t>
        </is>
      </c>
    </row>
    <row r="2474">
      <c r="A2474" t="inlineStr">
        <is>
          <t>第3圈 [对子]: 玩3首出 → [玩3:♦J ♠J | 玩4:♦10 ♦Q | 玩1:♥3 | 玩2:♠6 ♣8] → 赢: 玩1(♥3) 分=10</t>
        </is>
      </c>
    </row>
    <row r="2475">
      <c r="A2475" t="inlineStr">
        <is>
          <t>第4圈 [对子]: 玩1首出 → [玩1:♥8 ♠8 | 玩2:♥10 ♠10 | 玩3:♣2 大王 | 玩4:♣10 ♣J] → 赢: 玩3(大王) 分=30</t>
        </is>
      </c>
    </row>
    <row r="2476">
      <c r="A2476" t="inlineStr">
        <is>
          <t>第5圈 [单张]: 玩3首出 → [玩3:♣4 | 玩4:♣Q | 玩1:♣K | 玩2:♣A] → 赢: 玩2(♣A) 分=10</t>
        </is>
      </c>
    </row>
    <row r="2477">
      <c r="A2477" t="inlineStr">
        <is>
          <t>第6圈 [单张]: 玩2首出 → [玩2:♠Q | 玩3:♦8 | 玩4:♠2 | 玩1:♠5] → 赢: 玩4(♠2) 分=5</t>
        </is>
      </c>
    </row>
    <row r="2478">
      <c r="A2478" t="inlineStr">
        <is>
          <t>第7圈 [单张]: 玩4首出 → [玩4:♥Q | 玩1:♥5 | 玩2:♠K | 玩3:♥A] → 赢: 玩3(♥A) 分=15</t>
        </is>
      </c>
    </row>
    <row r="2479">
      <c r="A2479" t="inlineStr">
        <is>
          <t>第8圈 [单张]: 玩3首出 → [玩3:♦K | 玩4:小王 | 玩1:♦A | 玩2:♠A] → 赢: 玩4(小王) 分=10</t>
        </is>
      </c>
    </row>
    <row r="2480">
      <c r="A2480" t="inlineStr">
        <is>
          <t>第9圈 [单张]: 玩4首出 → [玩4:无 | 玩1:♥K | 玩2:无 | 玩3:无] → 赢: 玩1(♥K) 分=10</t>
        </is>
      </c>
    </row>
    <row r="2481">
      <c r="A2481" t="inlineStr">
        <is>
          <t>抓分方总分=100</t>
        </is>
      </c>
    </row>
    <row r="2482">
      <c r="A2482" t="inlineStr">
        <is>
          <t>结算: 抓分=100 扣底=否 庄方+0 抓方+6</t>
        </is>
      </c>
    </row>
    <row r="2483">
      <c r="A2483" t="inlineStr">
        <is>
          <t>级牌: 庄方 7→7 | 抓方 7→13</t>
        </is>
      </c>
    </row>
    <row r="2484">
      <c r="A2484" t="inlineStr">
        <is>
          <t>⚠️ 抓分方 13 &gt; 7，强制停在7，获得庄权，需再守庄一局</t>
        </is>
      </c>
    </row>
    <row r="2485">
      <c r="A2485" t="inlineStr">
        <is>
          <t>庄家变更: → 玩4</t>
        </is>
      </c>
    </row>
    <row r="2486">
      <c r="A2486" t="inlineStr">
        <is>
          <t>级牌重置: 庄家方=7 抓分方=7</t>
        </is>
      </c>
    </row>
    <row r="2487">
      <c r="A2487" t="inlineStr">
        <is>
          <t>守庄失败，对方上台继续</t>
        </is>
      </c>
    </row>
    <row r="2488">
      <c r="A2488" t="inlineStr">
        <is>
          <t>第47局结束 | 庄家方=7 抓分方=7</t>
        </is>
      </c>
    </row>
    <row r="2489">
      <c r="A2489" s="8" t="inlineStr">
        <is>
          <t>📊 结算</t>
        </is>
      </c>
    </row>
    <row r="2490">
      <c r="A2490" s="9" t="inlineStr">
        <is>
          <t>抓分方得分</t>
        </is>
      </c>
      <c r="C2490" t="inlineStr">
        <is>
          <t>100</t>
        </is>
      </c>
    </row>
    <row r="2491">
      <c r="A2491" s="9" t="inlineStr">
        <is>
          <t>是否扣底</t>
        </is>
      </c>
      <c r="C2491" t="inlineStr">
        <is>
          <t>否</t>
        </is>
      </c>
    </row>
    <row r="2492">
      <c r="A2492" s="9" t="inlineStr">
        <is>
          <t>扣底牌</t>
        </is>
      </c>
      <c r="C2492" t="inlineStr">
        <is>
          <t>♥K</t>
        </is>
      </c>
    </row>
    <row r="2493">
      <c r="A2493" s="9" t="inlineStr">
        <is>
          <t>基础升级 抓方</t>
        </is>
      </c>
      <c r="C2493" t="inlineStr">
        <is>
          <t>+6</t>
        </is>
      </c>
    </row>
    <row r="2494">
      <c r="A2494" s="9" t="inlineStr">
        <is>
          <t>扣底加成</t>
        </is>
      </c>
      <c r="C2494" t="inlineStr">
        <is>
          <t>无</t>
        </is>
      </c>
    </row>
    <row r="2495">
      <c r="A2495" s="9" t="inlineStr">
        <is>
          <t>总升级 抓方</t>
        </is>
      </c>
      <c r="C2495" t="inlineStr">
        <is>
          <t>+6</t>
        </is>
      </c>
    </row>
    <row r="2496">
      <c r="A2496" s="9" t="inlineStr">
        <is>
          <t>总升级 庄方</t>
        </is>
      </c>
      <c r="C2496" t="inlineStr">
        <is>
          <t>+0</t>
        </is>
      </c>
    </row>
    <row r="2497">
      <c r="A2497" s="9" t="inlineStr">
        <is>
          <t>结果</t>
        </is>
      </c>
      <c r="C2497" t="inlineStr">
        <is>
          <t>上台过7（需守庄）</t>
        </is>
      </c>
    </row>
    <row r="2500">
      <c r="A2500" s="6" t="inlineStr">
        <is>
          <t>═══ 第48局 ─ 上台过7（需守庄） ═══</t>
        </is>
      </c>
    </row>
    <row r="2501">
      <c r="A2501" s="7" t="inlineStr">
        <is>
          <t>庄家</t>
        </is>
      </c>
      <c r="C2501" t="inlineStr">
        <is>
          <t>玩家4</t>
        </is>
      </c>
    </row>
    <row r="2502">
      <c r="A2502" s="7" t="inlineStr">
        <is>
          <t>庄家方级牌</t>
        </is>
      </c>
      <c r="C2502" t="inlineStr">
        <is>
          <t>7</t>
        </is>
      </c>
    </row>
    <row r="2503">
      <c r="A2503" s="7" t="inlineStr">
        <is>
          <t>抓分方级牌</t>
        </is>
      </c>
      <c r="C2503" t="inlineStr">
        <is>
          <t>7</t>
        </is>
      </c>
    </row>
    <row r="2504">
      <c r="A2504" s="7" t="inlineStr">
        <is>
          <t>本局级牌</t>
        </is>
      </c>
      <c r="C2504" t="inlineStr">
        <is>
          <t>7</t>
        </is>
      </c>
    </row>
    <row r="2505">
      <c r="A2505" s="7" t="inlineStr">
        <is>
          <t>庄家阵营</t>
        </is>
      </c>
      <c r="C2505" t="inlineStr">
        <is>
          <t>玩家4、玩家2</t>
        </is>
      </c>
    </row>
    <row r="2506">
      <c r="A2506" s="7" t="inlineStr">
        <is>
          <t>抓分阵营</t>
        </is>
      </c>
      <c r="C2506" t="inlineStr">
        <is>
          <t>玩家1、玩家3</t>
        </is>
      </c>
    </row>
    <row r="2507">
      <c r="A2507" s="7" t="inlineStr">
        <is>
          <t>定主方式</t>
        </is>
      </c>
      <c r="C2507" t="inlineStr">
        <is>
          <t>bottom_card</t>
        </is>
      </c>
    </row>
    <row r="2508">
      <c r="A2508" s="7" t="inlineStr">
        <is>
          <t>主花色</t>
        </is>
      </c>
      <c r="C2508" t="inlineStr">
        <is>
          <t>方块</t>
        </is>
      </c>
    </row>
    <row r="2509">
      <c r="A2509" s="8" t="inlineStr">
        <is>
          <t>📋 初始手牌</t>
        </is>
      </c>
    </row>
    <row r="2510">
      <c r="A2510" t="inlineStr">
        <is>
          <t>玩家1</t>
        </is>
      </c>
      <c r="B2510" t="inlineStr">
        <is>
          <t>♥K ♥7 ♠K ♠10 ♥Q 小王 ♥J ♥3 ♠7 ♣7 ♣5 ♣9</t>
        </is>
      </c>
    </row>
    <row r="2511">
      <c r="A2511" t="inlineStr">
        <is>
          <t>玩家2</t>
        </is>
      </c>
      <c r="B2511" t="inlineStr">
        <is>
          <t>♣K ♣2 ♦2 ♦9 ♠8 ♣A ♠5 ♠A ♦4 ♣J ♥A ♥5</t>
        </is>
      </c>
    </row>
    <row r="2512">
      <c r="A2512" t="inlineStr">
        <is>
          <t>玩家3</t>
        </is>
      </c>
      <c r="B2512" t="inlineStr">
        <is>
          <t>♠9 ♦3 ♣Q 大王 ♥4 ♦8 ♣4 ♠Q ♥10 ♦10 ♦6 ♠4</t>
        </is>
      </c>
    </row>
    <row r="2513">
      <c r="A2513" t="inlineStr">
        <is>
          <t>玩家4</t>
        </is>
      </c>
      <c r="B2513" t="inlineStr">
        <is>
          <t>♥6 ♦J ♥8 ♣10 ♠3 ♣8 ♠6 ♣3 ♥9 ♥2 ♦7 ♦A</t>
        </is>
      </c>
    </row>
    <row r="2514">
      <c r="A2514" s="8" t="inlineStr">
        <is>
          <t>📦 底牌信息</t>
        </is>
      </c>
    </row>
    <row r="2515">
      <c r="A2515" t="inlineStr">
        <is>
          <t>初始底牌</t>
        </is>
      </c>
      <c r="B2515" t="inlineStr">
        <is>
          <t>♦Q ♣6 ♠J ♦K ♦5 ♠2</t>
        </is>
      </c>
    </row>
    <row r="2516">
      <c r="A2516" t="inlineStr">
        <is>
          <t>庄家埋入</t>
        </is>
      </c>
      <c r="B2516" t="inlineStr">
        <is>
          <t>♠3 ♣3 ♥6 ♠6</t>
        </is>
      </c>
      <c r="D2516" t="inlineStr">
        <is>
          <t>♦5 ♠2 ♠3 ♣3 ♥6 ♠6</t>
        </is>
      </c>
      <c r="E2516" t="inlineStr">
        <is>
          <t>分值=5</t>
        </is>
      </c>
    </row>
    <row r="2517">
      <c r="A2517" s="8" t="inlineStr">
        <is>
          <t>📝 操作日志</t>
        </is>
      </c>
    </row>
    <row r="2518">
      <c r="A2518">
        <f>== 第48局 ===</f>
        <v/>
      </c>
    </row>
    <row r="2519">
      <c r="A2519" t="inlineStr">
        <is>
          <t>庄家方级牌=7, 抓分方级牌=7, 庄家=玩家4</t>
        </is>
      </c>
    </row>
    <row r="2520">
      <c r="A2520" t="inlineStr">
        <is>
          <t>庄家阵营: 玩4、玩2 | 抓分阵营: 玩1、玩3</t>
        </is>
      </c>
    </row>
    <row r="2521">
      <c r="A2521" t="inlineStr">
        <is>
          <t>发牌完成 | 底牌: ♦Q ♣6 ♠J ♦K ♦5 ♠2</t>
        </is>
      </c>
    </row>
    <row r="2522">
      <c r="A2522" t="inlineStr">
        <is>
          <t>【底牌首张定主】♦Q → 主=方块</t>
        </is>
      </c>
    </row>
    <row r="2523">
      <c r="A2523" t="inlineStr">
        <is>
          <t>【埋底】庄家（玩4）埋 ♠3 ♣3 ♥6 ♠6, 取回 ♦Q ♣6 ♠J ♦K</t>
        </is>
      </c>
    </row>
    <row r="2524">
      <c r="A2524" t="inlineStr">
        <is>
          <t xml:space="preserve">  埋底后底牌: ♦5 ♠2 ♠3 ♣3 ♥6 ♠6 (分值=5)</t>
        </is>
      </c>
    </row>
    <row r="2525">
      <c r="A2525" t="inlineStr">
        <is>
          <t>第1圈 [对子]: 玩4首出 → [玩4:♥8 ♣8 | 玩1:♥3 ♥7 | 玩2:♥5 ♥A | 玩3:♥4 ♥10] → 赢: 玩1(♥3) 分=15</t>
        </is>
      </c>
    </row>
    <row r="2526">
      <c r="A2526" t="inlineStr">
        <is>
          <t>第2圈 [对子]: 玩1首出 → [玩1:♠7 ♣7 | 玩2:♠5 ♠8 | 玩3:♠4 ♠9 | 玩4:♥2] → 赢: 玩4(♥2) 分=5</t>
        </is>
      </c>
    </row>
    <row r="2527">
      <c r="A2527" t="inlineStr">
        <is>
          <t>第3圈 [对子]: 玩4首出 → [玩4:♦J ♠J | 玩1:♣5 ♣9 | 玩2:♦2 ♦4 | 玩3:♦3 ♦6] → 赢: 玩2(♦2) 分=5</t>
        </is>
      </c>
    </row>
    <row r="2528">
      <c r="A2528" t="inlineStr">
        <is>
          <t>第4圈 [对子]: 玩2首出 → [玩2:♣A ♠A | 玩3:♣4 ♣Q | 玩4:♣6 ♣10 | 玩1:小王] → 赢: 玩1(小王) 分=10</t>
        </is>
      </c>
    </row>
    <row r="2529">
      <c r="A2529" t="inlineStr">
        <is>
          <t>第5圈 [单张]: 玩1首出 → [玩1:♥J | 玩2:♦9 | 玩3:♦8 | 玩4:♥9] → 赢: 玩1(♥J) 分=0</t>
        </is>
      </c>
    </row>
    <row r="2530">
      <c r="A2530" t="inlineStr">
        <is>
          <t>第6圈 [单张]: 玩1首出 → [玩1:♥Q | 玩2:♣J | 玩3:♦10 | 玩4:♦7] → 赢: 玩1(♥Q) 分=10</t>
        </is>
      </c>
    </row>
    <row r="2531">
      <c r="A2531" t="inlineStr">
        <is>
          <t>第7圈 [单张]: 玩1首出 → [玩1:♠10 | 玩2:♣2 | 玩3:♠Q | 玩4:♦Q] → 赢: 玩2(♣2) 分=10</t>
        </is>
      </c>
    </row>
    <row r="2532">
      <c r="A2532" t="inlineStr">
        <is>
          <t>第8圈 [单张]: 玩2首出 → [玩2:♣K | 玩3:大王 | 玩4:♦K | 玩1:♥K] → 赢: 玩3(大王) 分=30</t>
        </is>
      </c>
    </row>
    <row r="2533">
      <c r="A2533" t="inlineStr">
        <is>
          <t>第9圈 [单张]: 玩3首出 → [玩3:无 | 玩4:♦A | 玩1:♠K | 玩2:无] → 赢: 玩1(♠K) 分=10</t>
        </is>
      </c>
    </row>
    <row r="2534">
      <c r="A2534" t="inlineStr">
        <is>
          <t>抓分方总分=95</t>
        </is>
      </c>
    </row>
    <row r="2535">
      <c r="A2535" t="inlineStr">
        <is>
          <t>结算: 抓分=95 扣底=是 庄方+0 抓方+9</t>
        </is>
      </c>
    </row>
    <row r="2536">
      <c r="A2536" t="inlineStr">
        <is>
          <t>级牌: 庄方 7→7 | 抓方 7→16</t>
        </is>
      </c>
    </row>
    <row r="2537">
      <c r="A2537" t="inlineStr">
        <is>
          <t>⚠️ 抓分方 16 &gt; 7，强制停在7，获得庄权，需再守庄一局</t>
        </is>
      </c>
    </row>
    <row r="2538">
      <c r="A2538" t="inlineStr">
        <is>
          <t>庄家变更: → 玩1</t>
        </is>
      </c>
    </row>
    <row r="2539">
      <c r="A2539" t="inlineStr">
        <is>
          <t>级牌重置: 庄家方=7 抓分方=7</t>
        </is>
      </c>
    </row>
    <row r="2540">
      <c r="A2540" t="inlineStr">
        <is>
          <t>守庄失败，对方上台继续</t>
        </is>
      </c>
    </row>
    <row r="2541">
      <c r="A2541" t="inlineStr">
        <is>
          <t>第48局结束 | 庄家方=7 抓分方=7</t>
        </is>
      </c>
    </row>
    <row r="2542">
      <c r="A2542" s="8" t="inlineStr">
        <is>
          <t>📊 结算</t>
        </is>
      </c>
    </row>
    <row r="2543">
      <c r="A2543" s="9" t="inlineStr">
        <is>
          <t>抓分方得分</t>
        </is>
      </c>
      <c r="C2543" t="inlineStr">
        <is>
          <t>95</t>
        </is>
      </c>
    </row>
    <row r="2544">
      <c r="A2544" s="9" t="inlineStr">
        <is>
          <t>是否扣底</t>
        </is>
      </c>
      <c r="C2544" t="inlineStr">
        <is>
          <t>是</t>
        </is>
      </c>
    </row>
    <row r="2545">
      <c r="A2545" s="9" t="inlineStr">
        <is>
          <t>扣底牌</t>
        </is>
      </c>
      <c r="C2545" t="inlineStr">
        <is>
          <t>♠K</t>
        </is>
      </c>
    </row>
    <row r="2546">
      <c r="A2546" s="9" t="inlineStr">
        <is>
          <t>基础升级 抓方</t>
        </is>
      </c>
      <c r="C2546" t="inlineStr">
        <is>
          <t>+6</t>
        </is>
      </c>
    </row>
    <row r="2547">
      <c r="A2547" s="9" t="inlineStr">
        <is>
          <t>扣底加成</t>
        </is>
      </c>
      <c r="C2547" t="inlineStr">
        <is>
          <t>+3</t>
        </is>
      </c>
    </row>
    <row r="2548">
      <c r="A2548" s="9" t="inlineStr">
        <is>
          <t>总升级 抓方</t>
        </is>
      </c>
      <c r="C2548" t="inlineStr">
        <is>
          <t>+9</t>
        </is>
      </c>
    </row>
    <row r="2549">
      <c r="A2549" s="9" t="inlineStr">
        <is>
          <t>总升级 庄方</t>
        </is>
      </c>
      <c r="C2549" t="inlineStr">
        <is>
          <t>+0</t>
        </is>
      </c>
    </row>
    <row r="2550">
      <c r="A2550" s="9" t="inlineStr">
        <is>
          <t>结果</t>
        </is>
      </c>
      <c r="C2550" t="inlineStr">
        <is>
          <t>上台过7（需守庄）</t>
        </is>
      </c>
    </row>
    <row r="2553">
      <c r="A2553" s="6" t="inlineStr">
        <is>
          <t>═══ 第49局 ─ 上台过7（需守庄） ═══</t>
        </is>
      </c>
    </row>
    <row r="2554">
      <c r="A2554" s="7" t="inlineStr">
        <is>
          <t>庄家</t>
        </is>
      </c>
      <c r="C2554" t="inlineStr">
        <is>
          <t>玩家1</t>
        </is>
      </c>
    </row>
    <row r="2555">
      <c r="A2555" s="7" t="inlineStr">
        <is>
          <t>庄家方级牌</t>
        </is>
      </c>
      <c r="C2555" t="inlineStr">
        <is>
          <t>7</t>
        </is>
      </c>
    </row>
    <row r="2556">
      <c r="A2556" s="7" t="inlineStr">
        <is>
          <t>抓分方级牌</t>
        </is>
      </c>
      <c r="C2556" t="inlineStr">
        <is>
          <t>7</t>
        </is>
      </c>
    </row>
    <row r="2557">
      <c r="A2557" s="7" t="inlineStr">
        <is>
          <t>本局级牌</t>
        </is>
      </c>
      <c r="C2557" t="inlineStr">
        <is>
          <t>7</t>
        </is>
      </c>
    </row>
    <row r="2558">
      <c r="A2558" s="7" t="inlineStr">
        <is>
          <t>庄家阵营</t>
        </is>
      </c>
      <c r="C2558" t="inlineStr">
        <is>
          <t>玩家1、玩家3</t>
        </is>
      </c>
    </row>
    <row r="2559">
      <c r="A2559" s="7" t="inlineStr">
        <is>
          <t>抓分阵营</t>
        </is>
      </c>
      <c r="C2559" t="inlineStr">
        <is>
          <t>玩家2、玩家4</t>
        </is>
      </c>
    </row>
    <row r="2560">
      <c r="A2560" s="7" t="inlineStr">
        <is>
          <t>定主方式</t>
        </is>
      </c>
      <c r="C2560" t="inlineStr">
        <is>
          <t>bottom_card</t>
        </is>
      </c>
    </row>
    <row r="2561">
      <c r="A2561" s="7" t="inlineStr">
        <is>
          <t>主花色</t>
        </is>
      </c>
      <c r="C2561" t="inlineStr">
        <is>
          <t>方块</t>
        </is>
      </c>
    </row>
    <row r="2562">
      <c r="A2562" s="8" t="inlineStr">
        <is>
          <t>📋 初始手牌</t>
        </is>
      </c>
    </row>
    <row r="2563">
      <c r="A2563" t="inlineStr">
        <is>
          <t>玩家1</t>
        </is>
      </c>
      <c r="B2563" t="inlineStr">
        <is>
          <t>♦10 ♣10 ♠6 ♣K ♣8 ♦5 ♠10 ♠Q ♣6 ♥8 ♦J ♦K</t>
        </is>
      </c>
    </row>
    <row r="2564">
      <c r="A2564" t="inlineStr">
        <is>
          <t>玩家2</t>
        </is>
      </c>
      <c r="B2564" t="inlineStr">
        <is>
          <t>♥6 ♥Q ♣3 ♠K ♦8 ♥10 ♣7 ♠2 ♥A ♣4 ♥3 ♣A</t>
        </is>
      </c>
    </row>
    <row r="2565">
      <c r="A2565" t="inlineStr">
        <is>
          <t>玩家3</t>
        </is>
      </c>
      <c r="B2565" t="inlineStr">
        <is>
          <t>♥5 ♦2 ♠8 ♦9 ♣Q ♣2 ♦A ♦6 ♥4 ♦Q ♦3 ♦4</t>
        </is>
      </c>
    </row>
    <row r="2566">
      <c r="A2566" t="inlineStr">
        <is>
          <t>玩家4</t>
        </is>
      </c>
      <c r="B2566" t="inlineStr">
        <is>
          <t>♥7 ♥2 ♥J 小王 ♠3 ♥K ♠J ♠5 ♠4 ♠9 ♠7 ♦7</t>
        </is>
      </c>
    </row>
    <row r="2567">
      <c r="A2567" s="8" t="inlineStr">
        <is>
          <t>📦 底牌信息</t>
        </is>
      </c>
    </row>
    <row r="2568">
      <c r="A2568" t="inlineStr">
        <is>
          <t>初始底牌</t>
        </is>
      </c>
      <c r="B2568" t="inlineStr">
        <is>
          <t>大王 ♥9 ♠A ♣9 ♣J ♣5</t>
        </is>
      </c>
    </row>
    <row r="2569">
      <c r="A2569" t="inlineStr">
        <is>
          <t>庄家埋入</t>
        </is>
      </c>
      <c r="B2569" t="inlineStr">
        <is>
          <t>♠6 ♣6 ♣8</t>
        </is>
      </c>
      <c r="D2569" t="inlineStr">
        <is>
          <t>♣9 ♣J ♣5 ♠6 ♣6 ♣8</t>
        </is>
      </c>
      <c r="E2569" t="inlineStr">
        <is>
          <t>分值=5</t>
        </is>
      </c>
    </row>
    <row r="2570">
      <c r="A2570" s="8" t="inlineStr">
        <is>
          <t>📝 操作日志</t>
        </is>
      </c>
    </row>
    <row r="2571">
      <c r="A2571">
        <f>== 第49局 ===</f>
        <v/>
      </c>
    </row>
    <row r="2572">
      <c r="A2572" t="inlineStr">
        <is>
          <t>庄家方级牌=7, 抓分方级牌=7, 庄家=玩家1</t>
        </is>
      </c>
    </row>
    <row r="2573">
      <c r="A2573" t="inlineStr">
        <is>
          <t>庄家阵营: 玩1、玩3 | 抓分阵营: 玩2、玩4</t>
        </is>
      </c>
    </row>
    <row r="2574">
      <c r="A2574" t="inlineStr">
        <is>
          <t>发牌完成 | 底牌: 大王 ♥9 ♠A ♣9 ♣J ♣5</t>
        </is>
      </c>
    </row>
    <row r="2575">
      <c r="A2575" t="inlineStr">
        <is>
          <t>【底牌首张定主】大王 → 主=方块</t>
        </is>
      </c>
    </row>
    <row r="2576">
      <c r="A2576" t="inlineStr">
        <is>
          <t>【埋底】庄家（玩1）埋 ♠6 ♣6 ♣8, 取回 大王 ♥9 ♠A</t>
        </is>
      </c>
    </row>
    <row r="2577">
      <c r="A2577" t="inlineStr">
        <is>
          <t xml:space="preserve">  埋底后底牌: ♣9 ♣J ♣5 ♠6 ♣6 ♣8 (分值=5)</t>
        </is>
      </c>
    </row>
    <row r="2578">
      <c r="A2578" t="inlineStr">
        <is>
          <t>第1圈 [单张]: 玩1首出 → [玩1:♥8 | 玩2:♥3 | 玩3:♥4 | 玩4:♥2] → 赢: 玩2(♥3) 分=0</t>
        </is>
      </c>
    </row>
    <row r="2579">
      <c r="A2579" t="inlineStr">
        <is>
          <t>第2圈 [对子]: 玩2首出 → [玩2:♥A ♣A | 玩3:♦3 ♦4 | 玩4:♥7 ♥J | 玩1:♦5 ♥9] → 赢: 玩2(♥A) 分=5</t>
        </is>
      </c>
    </row>
    <row r="2580">
      <c r="A2580" t="inlineStr">
        <is>
          <t>第3圈 [单张]: 玩2首出 → [玩2:♣3 | 玩3:♣2 | 玩4:♠3 | 玩1:♣10] → 赢: 玩3(♣2) 分=10</t>
        </is>
      </c>
    </row>
    <row r="2581">
      <c r="A2581" t="inlineStr">
        <is>
          <t>第4圈 [对子]: 玩3首出 → [玩3:♣Q ♦Q | 玩4:♠4 ♠5 | 玩1:大王 | 玩2:♣4 ♣7] → 赢: 玩1(大王) 分=5</t>
        </is>
      </c>
    </row>
    <row r="2582">
      <c r="A2582" t="inlineStr">
        <is>
          <t>第5圈 [单张]: 玩1首出 → [玩1:♦J | 玩2:♦8 | 玩3:♦2 | 玩4:♦7] → 赢: 玩3(♦2) 分=0</t>
        </is>
      </c>
    </row>
    <row r="2583">
      <c r="A2583" t="inlineStr">
        <is>
          <t>第6圈 [单张]: 玩3首出 → [玩3:♦6 | 玩4:♠7 | 玩1:♦10 | 玩2:♠2] → 赢: 玩2(♠2) 分=10</t>
        </is>
      </c>
    </row>
    <row r="2584">
      <c r="A2584" t="inlineStr">
        <is>
          <t>第7圈 [单张]: 玩2首出 → [玩2:♥6 | 玩3:♥5 | 玩4:♥K | 玩1:♠10] → 赢: 玩4(♥K) 分=25</t>
        </is>
      </c>
    </row>
    <row r="2585">
      <c r="A2585" t="inlineStr">
        <is>
          <t>第8圈 [单张]: 玩4首出 → [玩4:♠9 | 玩1:♠Q | 玩2:♠K | 玩3:♠8] → 赢: 玩2(♠K) 分=10</t>
        </is>
      </c>
    </row>
    <row r="2586">
      <c r="A2586" t="inlineStr">
        <is>
          <t>第9圈 [单张]: 玩2首出 → [玩2:♥Q | 玩3:♦9 | 玩4:♠J | 玩1:♣K] → 赢: 玩2(♥Q) 分=10</t>
        </is>
      </c>
    </row>
    <row r="2587">
      <c r="A2587" t="inlineStr">
        <is>
          <t>第10圈 [单张]: 玩2首出 → [玩2:♥10 | 玩3:♦A | 玩4:小王 | 玩1:♦K] → 赢: 玩4(小王) 分=20</t>
        </is>
      </c>
    </row>
    <row r="2588">
      <c r="A2588" t="inlineStr">
        <is>
          <t>第11圈 [单张]: 玩4首出 → [玩4:无 | 玩1:♠A | 玩2:无 | 玩3:无] → 赢: 玩1(♠A) 分=0</t>
        </is>
      </c>
    </row>
    <row r="2589">
      <c r="A2589" t="inlineStr">
        <is>
          <t>抓分方总分=95</t>
        </is>
      </c>
    </row>
    <row r="2590">
      <c r="A2590" t="inlineStr">
        <is>
          <t>结算: 抓分=95 扣底=否 庄方+0 抓方+6</t>
        </is>
      </c>
    </row>
    <row r="2591">
      <c r="A2591" t="inlineStr">
        <is>
          <t>级牌: 庄方 7→7 | 抓方 7→13</t>
        </is>
      </c>
    </row>
    <row r="2592">
      <c r="A2592" t="inlineStr">
        <is>
          <t>⚠️ 抓分方 13 &gt; 7，强制停在7，获得庄权，需再守庄一局</t>
        </is>
      </c>
    </row>
    <row r="2593">
      <c r="A2593" t="inlineStr">
        <is>
          <t>庄家变更: → 玩2</t>
        </is>
      </c>
    </row>
    <row r="2594">
      <c r="A2594" t="inlineStr">
        <is>
          <t>级牌重置: 庄家方=7 抓分方=7</t>
        </is>
      </c>
    </row>
    <row r="2595">
      <c r="A2595" t="inlineStr">
        <is>
          <t>守庄失败，对方上台继续</t>
        </is>
      </c>
    </row>
    <row r="2596">
      <c r="A2596" t="inlineStr">
        <is>
          <t>第49局结束 | 庄家方=7 抓分方=7</t>
        </is>
      </c>
    </row>
    <row r="2597">
      <c r="A2597" s="8" t="inlineStr">
        <is>
          <t>📊 结算</t>
        </is>
      </c>
    </row>
    <row r="2598">
      <c r="A2598" s="9" t="inlineStr">
        <is>
          <t>抓分方得分</t>
        </is>
      </c>
      <c r="C2598" t="inlineStr">
        <is>
          <t>95</t>
        </is>
      </c>
    </row>
    <row r="2599">
      <c r="A2599" s="9" t="inlineStr">
        <is>
          <t>是否扣底</t>
        </is>
      </c>
      <c r="C2599" t="inlineStr">
        <is>
          <t>否</t>
        </is>
      </c>
    </row>
    <row r="2600">
      <c r="A2600" s="9" t="inlineStr">
        <is>
          <t>扣底牌</t>
        </is>
      </c>
      <c r="C2600" t="inlineStr">
        <is>
          <t>♠A</t>
        </is>
      </c>
    </row>
    <row r="2601">
      <c r="A2601" s="9" t="inlineStr">
        <is>
          <t>基础升级 抓方</t>
        </is>
      </c>
      <c r="C2601" t="inlineStr">
        <is>
          <t>+6</t>
        </is>
      </c>
    </row>
    <row r="2602">
      <c r="A2602" s="9" t="inlineStr">
        <is>
          <t>扣底加成</t>
        </is>
      </c>
      <c r="C2602" t="inlineStr">
        <is>
          <t>无</t>
        </is>
      </c>
    </row>
    <row r="2603">
      <c r="A2603" s="9" t="inlineStr">
        <is>
          <t>总升级 抓方</t>
        </is>
      </c>
      <c r="C2603" t="inlineStr">
        <is>
          <t>+6</t>
        </is>
      </c>
    </row>
    <row r="2604">
      <c r="A2604" s="9" t="inlineStr">
        <is>
          <t>总升级 庄方</t>
        </is>
      </c>
      <c r="C2604" t="inlineStr">
        <is>
          <t>+0</t>
        </is>
      </c>
    </row>
    <row r="2605">
      <c r="A2605" s="9" t="inlineStr">
        <is>
          <t>结果</t>
        </is>
      </c>
      <c r="C2605" t="inlineStr">
        <is>
          <t>上台过7（需守庄）</t>
        </is>
      </c>
    </row>
    <row r="2608">
      <c r="A2608" s="6" t="inlineStr">
        <is>
          <t>═══ 第50局 ─ 上台过7（需守庄） ═══</t>
        </is>
      </c>
    </row>
    <row r="2609">
      <c r="A2609" s="7" t="inlineStr">
        <is>
          <t>庄家</t>
        </is>
      </c>
      <c r="C2609" t="inlineStr">
        <is>
          <t>玩家2</t>
        </is>
      </c>
    </row>
    <row r="2610">
      <c r="A2610" s="7" t="inlineStr">
        <is>
          <t>庄家方级牌</t>
        </is>
      </c>
      <c r="C2610" t="inlineStr">
        <is>
          <t>7</t>
        </is>
      </c>
    </row>
    <row r="2611">
      <c r="A2611" s="7" t="inlineStr">
        <is>
          <t>抓分方级牌</t>
        </is>
      </c>
      <c r="C2611" t="inlineStr">
        <is>
          <t>7</t>
        </is>
      </c>
    </row>
    <row r="2612">
      <c r="A2612" s="7" t="inlineStr">
        <is>
          <t>本局级牌</t>
        </is>
      </c>
      <c r="C2612" t="inlineStr">
        <is>
          <t>7</t>
        </is>
      </c>
    </row>
    <row r="2613">
      <c r="A2613" s="7" t="inlineStr">
        <is>
          <t>庄家阵营</t>
        </is>
      </c>
      <c r="C2613" t="inlineStr">
        <is>
          <t>玩家2、玩家4</t>
        </is>
      </c>
    </row>
    <row r="2614">
      <c r="A2614" s="7" t="inlineStr">
        <is>
          <t>抓分阵营</t>
        </is>
      </c>
      <c r="C2614" t="inlineStr">
        <is>
          <t>玩家3、玩家1</t>
        </is>
      </c>
    </row>
    <row r="2615">
      <c r="A2615" s="7" t="inlineStr">
        <is>
          <t>定主方式</t>
        </is>
      </c>
      <c r="C2615" t="inlineStr">
        <is>
          <t>bottom_card</t>
        </is>
      </c>
    </row>
    <row r="2616">
      <c r="A2616" s="7" t="inlineStr">
        <is>
          <t>主花色</t>
        </is>
      </c>
      <c r="C2616" t="inlineStr">
        <is>
          <t>黑桃</t>
        </is>
      </c>
    </row>
    <row r="2617">
      <c r="A2617" s="8" t="inlineStr">
        <is>
          <t>📋 初始手牌</t>
        </is>
      </c>
    </row>
    <row r="2618">
      <c r="A2618" t="inlineStr">
        <is>
          <t>玩家1</t>
        </is>
      </c>
      <c r="B2618" t="inlineStr">
        <is>
          <t>♠9 ♥10 ♦7 ♠10 ♠7 ♥6 ♣6 小王 ♣2 ♥5 ♥2 ♠3</t>
        </is>
      </c>
    </row>
    <row r="2619">
      <c r="A2619" t="inlineStr">
        <is>
          <t>玩家2</t>
        </is>
      </c>
      <c r="B2619" t="inlineStr">
        <is>
          <t>♣K ♣Q ♦8 ♥4 ♣5 ♥J ♥9 ♠5 大王 ♦3 ♣10 ♦A</t>
        </is>
      </c>
    </row>
    <row r="2620">
      <c r="A2620" t="inlineStr">
        <is>
          <t>玩家3</t>
        </is>
      </c>
      <c r="B2620" t="inlineStr">
        <is>
          <t>♣8 ♠2 ♣4 ♦K ♥A ♠Q ♣9 ♣3 ♣A ♣J ♦Q ♦2</t>
        </is>
      </c>
    </row>
    <row r="2621">
      <c r="A2621" t="inlineStr">
        <is>
          <t>玩家4</t>
        </is>
      </c>
      <c r="B2621" t="inlineStr">
        <is>
          <t>♠6 ♥7 ♠K ♦10 ♦5 ♣7 ♥K ♦4 ♠8 ♠A ♠4 ♥Q</t>
        </is>
      </c>
    </row>
    <row r="2622">
      <c r="A2622" s="8" t="inlineStr">
        <is>
          <t>📦 底牌信息</t>
        </is>
      </c>
    </row>
    <row r="2623">
      <c r="A2623" t="inlineStr">
        <is>
          <t>初始底牌</t>
        </is>
      </c>
      <c r="B2623" t="inlineStr">
        <is>
          <t>♠J ♦6 ♦J ♦9 ♥8 ♥3</t>
        </is>
      </c>
    </row>
    <row r="2624">
      <c r="A2624" t="inlineStr">
        <is>
          <t>庄家埋入</t>
        </is>
      </c>
      <c r="B2624" t="inlineStr">
        <is>
          <t>♦3 ♥4 ♦8</t>
        </is>
      </c>
      <c r="D2624" t="inlineStr">
        <is>
          <t>♦9 ♥8 ♥3 ♦3 ♥4 ♦8</t>
        </is>
      </c>
      <c r="E2624" t="inlineStr">
        <is>
          <t>分值=0</t>
        </is>
      </c>
    </row>
    <row r="2625">
      <c r="A2625" s="8" t="inlineStr">
        <is>
          <t>📝 操作日志</t>
        </is>
      </c>
    </row>
    <row r="2626">
      <c r="A2626">
        <f>== 第50局 ===</f>
        <v/>
      </c>
    </row>
    <row r="2627">
      <c r="A2627" t="inlineStr">
        <is>
          <t>庄家方级牌=7, 抓分方级牌=7, 庄家=玩家2</t>
        </is>
      </c>
    </row>
    <row r="2628">
      <c r="A2628" t="inlineStr">
        <is>
          <t>庄家阵营: 玩2、玩4 | 抓分阵营: 玩3、玩1</t>
        </is>
      </c>
    </row>
    <row r="2629">
      <c r="A2629" t="inlineStr">
        <is>
          <t>发牌完成 | 底牌: ♠J ♦6 ♦J ♦9 ♥8 ♥3</t>
        </is>
      </c>
    </row>
    <row r="2630">
      <c r="A2630" t="inlineStr">
        <is>
          <t>【底牌首张定主】♠J → 主=黑桃</t>
        </is>
      </c>
    </row>
    <row r="2631">
      <c r="A2631" t="inlineStr">
        <is>
          <t>【埋底】庄家（玩2）埋 ♦3 ♥4 ♦8, 取回 ♠J ♦6 ♦J</t>
        </is>
      </c>
    </row>
    <row r="2632">
      <c r="A2632" t="inlineStr">
        <is>
          <t xml:space="preserve">  埋底后底牌: ♦9 ♥8 ♥3 ♦3 ♥4 ♦8 (分值=0)</t>
        </is>
      </c>
    </row>
    <row r="2633">
      <c r="A2633" t="inlineStr">
        <is>
          <t>第1圈 [对子]: 玩2首出 → [玩2:♥J ♠J | 玩3:♣3 ♣4 | 玩4:♥7 ♥Q | 玩1:♥2 ♥5] → 赢: 玩1(♥2) 分=5</t>
        </is>
      </c>
    </row>
    <row r="2634">
      <c r="A2634" t="inlineStr">
        <is>
          <t>第2圈 [对子]: 玩1首出 → [玩1:♥6 ♣6 | 玩2:♣5 ♠5 | 玩3:♠2 ♦2 | 玩4:♦4 ♠4] → 赢: 玩3(♦2) 分=10</t>
        </is>
      </c>
    </row>
    <row r="2635">
      <c r="A2635" t="inlineStr">
        <is>
          <t>第3圈 [对子]: 玩3首出 → [玩3:♥A ♣A | 玩4:♦5 ♠6 | 玩1:♣2 小王 | 玩2:大王] → 赢: 玩2(大王) 分=5</t>
        </is>
      </c>
    </row>
    <row r="2636">
      <c r="A2636" t="inlineStr">
        <is>
          <t>第4圈 [单张]: 玩2首出 → [玩2:♦6 | 玩3:♦Q | 玩4:♦10 | 玩1:♦7] → 赢: 玩3(♦Q) 分=10</t>
        </is>
      </c>
    </row>
    <row r="2637">
      <c r="A2637" t="inlineStr">
        <is>
          <t>第5圈 [单张]: 玩3首出 → [玩3:♣8 | 玩4:♣7 | 玩1:♠3 | 玩2:♣Q] → 赢: 玩2(♣Q) 分=0</t>
        </is>
      </c>
    </row>
    <row r="2638">
      <c r="A2638" t="inlineStr">
        <is>
          <t>第6圈 [单张]: 玩2首出 → [玩2:♥9 | 玩3:♣9 | 玩4:♥K | 玩1:♥10] → 赢: 玩4(♥K) 分=20</t>
        </is>
      </c>
    </row>
    <row r="2639">
      <c r="A2639" t="inlineStr">
        <is>
          <t>第7圈 [单张]: 玩4首出 → [玩4:♠8 | 玩1:♠7 | 玩2:♣10 | 玩3:♠Q] → 赢: 玩3(♠Q) 分=10</t>
        </is>
      </c>
    </row>
    <row r="2640">
      <c r="A2640" t="inlineStr">
        <is>
          <t>第8圈 [单张]: 玩3首出 → [玩3:♣J | 玩4:♠K | 玩1:♠9 | 玩2:♣K] → 赢: 玩2(♣K) 分=20</t>
        </is>
      </c>
    </row>
    <row r="2641">
      <c r="A2641" t="inlineStr">
        <is>
          <t>第9圈 [单张]: 玩2首出 → [玩2:♦J | 玩3:♦K | 玩4:♠A | 玩1:♠10] → 赢: 玩3(♦K) 分=20</t>
        </is>
      </c>
    </row>
    <row r="2642">
      <c r="A2642" t="inlineStr">
        <is>
          <t>第10圈 [单张]: 玩3首出 → [玩3:无 | 玩4:无 | 玩1:无 | 玩2:♦A] → 赢: 玩2(♦A) 分=0</t>
        </is>
      </c>
    </row>
    <row r="2643">
      <c r="A2643" t="inlineStr">
        <is>
          <t>抓分方总分=100</t>
        </is>
      </c>
    </row>
    <row r="2644">
      <c r="A2644" t="inlineStr">
        <is>
          <t>结算: 抓分=100 扣底=否 庄方+0 抓方+6</t>
        </is>
      </c>
    </row>
    <row r="2645">
      <c r="A2645" t="inlineStr">
        <is>
          <t>级牌: 庄方 7→7 | 抓方 7→13</t>
        </is>
      </c>
    </row>
    <row r="2646">
      <c r="A2646" t="inlineStr">
        <is>
          <t>⚠️ 抓分方 13 &gt; 7，强制停在7，获得庄权，需再守庄一局</t>
        </is>
      </c>
    </row>
    <row r="2647">
      <c r="A2647" t="inlineStr">
        <is>
          <t>庄家变更: → 玩3</t>
        </is>
      </c>
    </row>
    <row r="2648">
      <c r="A2648" t="inlineStr">
        <is>
          <t>级牌重置: 庄家方=7 抓分方=7</t>
        </is>
      </c>
    </row>
    <row r="2649">
      <c r="A2649" t="inlineStr">
        <is>
          <t>守庄失败，对方上台继续</t>
        </is>
      </c>
    </row>
    <row r="2650">
      <c r="A2650" t="inlineStr">
        <is>
          <t>第50局结束 | 庄家方=7 抓分方=7</t>
        </is>
      </c>
    </row>
    <row r="2651">
      <c r="A2651" s="8" t="inlineStr">
        <is>
          <t>📊 结算</t>
        </is>
      </c>
    </row>
    <row r="2652">
      <c r="A2652" s="9" t="inlineStr">
        <is>
          <t>抓分方得分</t>
        </is>
      </c>
      <c r="C2652" t="inlineStr">
        <is>
          <t>100</t>
        </is>
      </c>
    </row>
    <row r="2653">
      <c r="A2653" s="9" t="inlineStr">
        <is>
          <t>是否扣底</t>
        </is>
      </c>
      <c r="C2653" t="inlineStr">
        <is>
          <t>否</t>
        </is>
      </c>
    </row>
    <row r="2654">
      <c r="A2654" s="9" t="inlineStr">
        <is>
          <t>扣底牌</t>
        </is>
      </c>
      <c r="C2654" t="inlineStr">
        <is>
          <t>♦A</t>
        </is>
      </c>
    </row>
    <row r="2655">
      <c r="A2655" s="9" t="inlineStr">
        <is>
          <t>基础升级 抓方</t>
        </is>
      </c>
      <c r="C2655" t="inlineStr">
        <is>
          <t>+6</t>
        </is>
      </c>
    </row>
    <row r="2656">
      <c r="A2656" s="9" t="inlineStr">
        <is>
          <t>扣底加成</t>
        </is>
      </c>
      <c r="C2656" t="inlineStr">
        <is>
          <t>无</t>
        </is>
      </c>
    </row>
    <row r="2657">
      <c r="A2657" s="9" t="inlineStr">
        <is>
          <t>总升级 抓方</t>
        </is>
      </c>
      <c r="C2657" t="inlineStr">
        <is>
          <t>+6</t>
        </is>
      </c>
    </row>
    <row r="2658">
      <c r="A2658" s="9" t="inlineStr">
        <is>
          <t>总升级 庄方</t>
        </is>
      </c>
      <c r="C2658" t="inlineStr">
        <is>
          <t>+0</t>
        </is>
      </c>
    </row>
    <row r="2659">
      <c r="A2659" s="9" t="inlineStr">
        <is>
          <t>结果</t>
        </is>
      </c>
      <c r="C2659" t="inlineStr">
        <is>
          <t>上台过7（需守庄）</t>
        </is>
      </c>
    </row>
  </sheetData>
  <mergeCells count="1561">
    <mergeCell ref="A1674:H1674"/>
    <mergeCell ref="A1832:H1832"/>
    <mergeCell ref="A731:H731"/>
    <mergeCell ref="A614:H614"/>
    <mergeCell ref="A1369:H1369"/>
    <mergeCell ref="A1458:H1458"/>
    <mergeCell ref="A942:H942"/>
    <mergeCell ref="A2430:H2430"/>
    <mergeCell ref="A1371:H1371"/>
    <mergeCell ref="A1675:H1675"/>
    <mergeCell ref="B975:C975"/>
    <mergeCell ref="A1669:H1669"/>
    <mergeCell ref="A1827:H1827"/>
    <mergeCell ref="A189:H189"/>
    <mergeCell ref="A2432:H2432"/>
    <mergeCell ref="A943:H943"/>
    <mergeCell ref="A2127:H2127"/>
    <mergeCell ref="A1372:H1372"/>
    <mergeCell ref="B2251:H2251"/>
    <mergeCell ref="A29:H29"/>
    <mergeCell ref="A2272:H2272"/>
    <mergeCell ref="A357:H357"/>
    <mergeCell ref="A1845:H1845"/>
    <mergeCell ref="A786:H786"/>
    <mergeCell ref="A31:H31"/>
    <mergeCell ref="A1090:H1090"/>
    <mergeCell ref="A1084:H1084"/>
    <mergeCell ref="A2274:H2274"/>
    <mergeCell ref="A627:H627"/>
    <mergeCell ref="A2572:H2572"/>
    <mergeCell ref="A663:H663"/>
    <mergeCell ref="A785:H785"/>
    <mergeCell ref="A24:H24"/>
    <mergeCell ref="A1847:H1847"/>
    <mergeCell ref="A2145:H2145"/>
    <mergeCell ref="A358:H358"/>
    <mergeCell ref="A629:H629"/>
    <mergeCell ref="A996:H996"/>
    <mergeCell ref="A2574:H2574"/>
    <mergeCell ref="A1846:H1846"/>
    <mergeCell ref="A787:H787"/>
    <mergeCell ref="A2362:H2362"/>
    <mergeCell ref="A1840:H1840"/>
    <mergeCell ref="B816:H816"/>
    <mergeCell ref="A1085:H1085"/>
    <mergeCell ref="B1660:H1660"/>
    <mergeCell ref="A360:H360"/>
    <mergeCell ref="A2057:H2057"/>
    <mergeCell ref="A2328:H2328"/>
    <mergeCell ref="B600:H600"/>
    <mergeCell ref="A1529:H1529"/>
    <mergeCell ref="A84:H84"/>
    <mergeCell ref="B1503:H1503"/>
    <mergeCell ref="A42:H42"/>
    <mergeCell ref="A1775:H1775"/>
    <mergeCell ref="A989:H989"/>
    <mergeCell ref="A411:H411"/>
    <mergeCell ref="A1103:H1103"/>
    <mergeCell ref="A1741:H1741"/>
    <mergeCell ref="A2075:H2075"/>
    <mergeCell ref="B444:C444"/>
    <mergeCell ref="A1138:H1138"/>
    <mergeCell ref="A1472:H1472"/>
    <mergeCell ref="A1743:H1743"/>
    <mergeCell ref="B1347:C1347"/>
    <mergeCell ref="A2041:H2041"/>
    <mergeCell ref="B1127:H1127"/>
    <mergeCell ref="B1401:C1401"/>
    <mergeCell ref="B1556:H1556"/>
    <mergeCell ref="B1129:H1129"/>
    <mergeCell ref="A727:H727"/>
    <mergeCell ref="A1156:H1156"/>
    <mergeCell ref="A2524:H2524"/>
    <mergeCell ref="A737:H737"/>
    <mergeCell ref="A2638:H2638"/>
    <mergeCell ref="A729:H729"/>
    <mergeCell ref="A2217:H2217"/>
    <mergeCell ref="A2096:H2096"/>
    <mergeCell ref="A1037:H1037"/>
    <mergeCell ref="A1790:H1790"/>
    <mergeCell ref="A1157:H1157"/>
    <mergeCell ref="B971:H971"/>
    <mergeCell ref="A2098:H2098"/>
    <mergeCell ref="B2459:H2459"/>
    <mergeCell ref="B550:H550"/>
    <mergeCell ref="B2032:H2032"/>
    <mergeCell ref="B814:H814"/>
    <mergeCell ref="B972:H972"/>
    <mergeCell ref="A1211:H1211"/>
    <mergeCell ref="B545:H545"/>
    <mergeCell ref="A300:H300"/>
    <mergeCell ref="A2270:H2270"/>
    <mergeCell ref="A458:H458"/>
    <mergeCell ref="A1511:H1511"/>
    <mergeCell ref="A452:H452"/>
    <mergeCell ref="A1836:H1836"/>
    <mergeCell ref="A1081:H1081"/>
    <mergeCell ref="A2265:H2265"/>
    <mergeCell ref="B2085:H2085"/>
    <mergeCell ref="A1083:H1083"/>
    <mergeCell ref="A468:H468"/>
    <mergeCell ref="B598:H598"/>
    <mergeCell ref="B1928:H1928"/>
    <mergeCell ref="A2167:H2167"/>
    <mergeCell ref="A1406:H1406"/>
    <mergeCell ref="A2596:H2596"/>
    <mergeCell ref="B1659:H1659"/>
    <mergeCell ref="A2169:H2169"/>
    <mergeCell ref="A2467:H2467"/>
    <mergeCell ref="A2327:H2327"/>
    <mergeCell ref="A680:H680"/>
    <mergeCell ref="A2581:H2581"/>
    <mergeCell ref="A2168:H2168"/>
    <mergeCell ref="A77:H77"/>
    <mergeCell ref="A769:H769"/>
    <mergeCell ref="B1342:H1342"/>
    <mergeCell ref="A682:H682"/>
    <mergeCell ref="A980:H980"/>
    <mergeCell ref="B1341:H1341"/>
    <mergeCell ref="A1409:H1409"/>
    <mergeCell ref="A2164:H2164"/>
    <mergeCell ref="B1343:H1343"/>
    <mergeCell ref="A1582:H1582"/>
    <mergeCell ref="A2309:H2309"/>
    <mergeCell ref="A522:H522"/>
    <mergeCell ref="A1882:H1882"/>
    <mergeCell ref="A95:H95"/>
    <mergeCell ref="A2040:H2040"/>
    <mergeCell ref="A393:H393"/>
    <mergeCell ref="A2311:H2311"/>
    <mergeCell ref="A1583:H1583"/>
    <mergeCell ref="A822:H822"/>
    <mergeCell ref="A97:H97"/>
    <mergeCell ref="A395:H395"/>
    <mergeCell ref="A1585:H1585"/>
    <mergeCell ref="A1883:H1883"/>
    <mergeCell ref="A824:H824"/>
    <mergeCell ref="A96:H96"/>
    <mergeCell ref="A2523:H2523"/>
    <mergeCell ref="A2208:H2208"/>
    <mergeCell ref="B1609:H1609"/>
    <mergeCell ref="A2394:H2394"/>
    <mergeCell ref="A2210:H2210"/>
    <mergeCell ref="B2569:C2569"/>
    <mergeCell ref="A840:H840"/>
    <mergeCell ref="A1478:H1478"/>
    <mergeCell ref="A998:H998"/>
    <mergeCell ref="A1934:H1934"/>
    <mergeCell ref="A237:H237"/>
    <mergeCell ref="A535:H535"/>
    <mergeCell ref="B970:H970"/>
    <mergeCell ref="A1209:H1209"/>
    <mergeCell ref="A2539:H2539"/>
    <mergeCell ref="A448:H448"/>
    <mergeCell ref="A1778:H1778"/>
    <mergeCell ref="A1298:H1298"/>
    <mergeCell ref="A1936:H1936"/>
    <mergeCell ref="A2112:H2112"/>
    <mergeCell ref="A27:H27"/>
    <mergeCell ref="A2541:H2541"/>
    <mergeCell ref="A456:H456"/>
    <mergeCell ref="B1293:H1293"/>
    <mergeCell ref="A2236:H2236"/>
    <mergeCell ref="B866:H866"/>
    <mergeCell ref="B1024:H1024"/>
    <mergeCell ref="B2354:H2354"/>
    <mergeCell ref="A2107:H2107"/>
    <mergeCell ref="A22:H22"/>
    <mergeCell ref="A2536:H2536"/>
    <mergeCell ref="A893:H893"/>
    <mergeCell ref="B497:C497"/>
    <mergeCell ref="B867:H867"/>
    <mergeCell ref="A2592:H2592"/>
    <mergeCell ref="A1193:H1193"/>
    <mergeCell ref="A1351:H1351"/>
    <mergeCell ref="A1649:H1649"/>
    <mergeCell ref="A894:H894"/>
    <mergeCell ref="A888:H888"/>
    <mergeCell ref="A2254:H2254"/>
    <mergeCell ref="B1767:H1767"/>
    <mergeCell ref="A467:H467"/>
    <mergeCell ref="A2412:H2412"/>
    <mergeCell ref="A461:H461"/>
    <mergeCell ref="A1949:H1949"/>
    <mergeCell ref="A1194:H1194"/>
    <mergeCell ref="B1769:H1769"/>
    <mergeCell ref="A2166:H2166"/>
    <mergeCell ref="A1522:H1522"/>
    <mergeCell ref="A2160:H2160"/>
    <mergeCell ref="B280:H280"/>
    <mergeCell ref="A925:H925"/>
    <mergeCell ref="A1951:H1951"/>
    <mergeCell ref="A1223:H1223"/>
    <mergeCell ref="B282:H282"/>
    <mergeCell ref="B920:H920"/>
    <mergeCell ref="A195:H195"/>
    <mergeCell ref="A1248:H1248"/>
    <mergeCell ref="B1981:H1981"/>
    <mergeCell ref="A2307:H2307"/>
    <mergeCell ref="A1250:H1250"/>
    <mergeCell ref="A609:H609"/>
    <mergeCell ref="A1581:H1581"/>
    <mergeCell ref="A2634:H2634"/>
    <mergeCell ref="B1185:C1185"/>
    <mergeCell ref="A820:H820"/>
    <mergeCell ref="A1879:H1879"/>
    <mergeCell ref="A2636:H2636"/>
    <mergeCell ref="A1881:H1881"/>
    <mergeCell ref="B335:H335"/>
    <mergeCell ref="A2635:H2635"/>
    <mergeCell ref="A1576:H1576"/>
    <mergeCell ref="B1396:H1396"/>
    <mergeCell ref="A2318:H2318"/>
    <mergeCell ref="A233:H233"/>
    <mergeCell ref="B2457:H2457"/>
    <mergeCell ref="A2022:H2022"/>
    <mergeCell ref="A235:H235"/>
    <mergeCell ref="A1901:H1901"/>
    <mergeCell ref="A875:H875"/>
    <mergeCell ref="B1078:H1078"/>
    <mergeCell ref="A831:H831"/>
    <mergeCell ref="A1723:H1723"/>
    <mergeCell ref="A1296:H1296"/>
    <mergeCell ref="A1892:H1892"/>
    <mergeCell ref="A833:H833"/>
    <mergeCell ref="A2321:H2321"/>
    <mergeCell ref="B1712:H1712"/>
    <mergeCell ref="B653:H653"/>
    <mergeCell ref="A2532:H2532"/>
    <mergeCell ref="B652:H652"/>
    <mergeCell ref="B1714:H1714"/>
    <mergeCell ref="A130:H130"/>
    <mergeCell ref="A559:H559"/>
    <mergeCell ref="A138:H138"/>
    <mergeCell ref="A132:H132"/>
    <mergeCell ref="A2375:H2375"/>
    <mergeCell ref="A1620:H1620"/>
    <mergeCell ref="A561:H561"/>
    <mergeCell ref="B2192:H2192"/>
    <mergeCell ref="A1622:H1622"/>
    <mergeCell ref="A2377:H2377"/>
    <mergeCell ref="A1945:H1945"/>
    <mergeCell ref="A133:H133"/>
    <mergeCell ref="A1947:H1947"/>
    <mergeCell ref="B707:H707"/>
    <mergeCell ref="A1035:H1035"/>
    <mergeCell ref="A1673:H1673"/>
    <mergeCell ref="B1768:H1768"/>
    <mergeCell ref="A1246:H1246"/>
    <mergeCell ref="A783:H783"/>
    <mergeCell ref="A2271:H2271"/>
    <mergeCell ref="A186:H186"/>
    <mergeCell ref="B2249:H2249"/>
    <mergeCell ref="A1247:H1247"/>
    <mergeCell ref="A2273:H2273"/>
    <mergeCell ref="A1203:H1203"/>
    <mergeCell ref="A1545:H1545"/>
    <mergeCell ref="B1664:H1664"/>
    <mergeCell ref="A146:H146"/>
    <mergeCell ref="A930:H930"/>
    <mergeCell ref="A2147:H2147"/>
    <mergeCell ref="A1991:H1991"/>
    <mergeCell ref="A959:H959"/>
    <mergeCell ref="A1257:H1257"/>
    <mergeCell ref="A2447:H2447"/>
    <mergeCell ref="A1686:H1686"/>
    <mergeCell ref="A1265:H1265"/>
    <mergeCell ref="A1259:H1259"/>
    <mergeCell ref="A504:H504"/>
    <mergeCell ref="A2474:H2474"/>
    <mergeCell ref="A662:H662"/>
    <mergeCell ref="A1688:H1688"/>
    <mergeCell ref="A199:H199"/>
    <mergeCell ref="A1687:H1687"/>
    <mergeCell ref="A506:H506"/>
    <mergeCell ref="B1507:H1507"/>
    <mergeCell ref="A1260:H1260"/>
    <mergeCell ref="A987:H987"/>
    <mergeCell ref="A346:H346"/>
    <mergeCell ref="A1318:H1318"/>
    <mergeCell ref="A674:H674"/>
    <mergeCell ref="A41:H41"/>
    <mergeCell ref="A557:H557"/>
    <mergeCell ref="A1616:H1616"/>
    <mergeCell ref="A2162:H2162"/>
    <mergeCell ref="A1407:H1407"/>
    <mergeCell ref="A1311:H1311"/>
    <mergeCell ref="A944:H944"/>
    <mergeCell ref="A2373:H2373"/>
    <mergeCell ref="A1618:H1618"/>
    <mergeCell ref="A341:H341"/>
    <mergeCell ref="B764:H764"/>
    <mergeCell ref="A129:H129"/>
    <mergeCell ref="A1155:H1155"/>
    <mergeCell ref="B922:H922"/>
    <mergeCell ref="B2091:C2091"/>
    <mergeCell ref="A2372:H2372"/>
    <mergeCell ref="A675:H675"/>
    <mergeCell ref="A1313:H1313"/>
    <mergeCell ref="A2643:H2643"/>
    <mergeCell ref="A886:H886"/>
    <mergeCell ref="A131:H131"/>
    <mergeCell ref="A2216:H2216"/>
    <mergeCell ref="A2374:H2374"/>
    <mergeCell ref="B604:C604"/>
    <mergeCell ref="B2194:H2194"/>
    <mergeCell ref="B1665:C1665"/>
    <mergeCell ref="A1031:H1031"/>
    <mergeCell ref="A568:H568"/>
    <mergeCell ref="A1:H1"/>
    <mergeCell ref="A576:H576"/>
    <mergeCell ref="A1331:H1331"/>
    <mergeCell ref="A1629:H1629"/>
    <mergeCell ref="A570:H570"/>
    <mergeCell ref="A1787:H1787"/>
    <mergeCell ref="A728:H728"/>
    <mergeCell ref="A2058:H2058"/>
    <mergeCell ref="B1449:H1449"/>
    <mergeCell ref="A1631:H1631"/>
    <mergeCell ref="A1789:H1789"/>
    <mergeCell ref="B1871:H1871"/>
    <mergeCell ref="A571:H571"/>
    <mergeCell ref="B385:H385"/>
    <mergeCell ref="B1718:C1718"/>
    <mergeCell ref="A302:H302"/>
    <mergeCell ref="B1873:H1873"/>
    <mergeCell ref="A298:H298"/>
    <mergeCell ref="A2418:H2418"/>
    <mergeCell ref="A1359:H1359"/>
    <mergeCell ref="A1044:H1044"/>
    <mergeCell ref="A1473:H1473"/>
    <mergeCell ref="A299:H299"/>
    <mergeCell ref="A293:H293"/>
    <mergeCell ref="A1690:H1690"/>
    <mergeCell ref="A1684:H1684"/>
    <mergeCell ref="A1988:H1988"/>
    <mergeCell ref="B865:H865"/>
    <mergeCell ref="A1256:H1256"/>
    <mergeCell ref="A1685:H1685"/>
    <mergeCell ref="B1076:H1076"/>
    <mergeCell ref="B2564:H2564"/>
    <mergeCell ref="B1505:H1505"/>
    <mergeCell ref="A1258:H1258"/>
    <mergeCell ref="A2585:H2585"/>
    <mergeCell ref="A2158:H2158"/>
    <mergeCell ref="A1099:H1099"/>
    <mergeCell ref="A1403:H1403"/>
    <mergeCell ref="A1739:H1739"/>
    <mergeCell ref="A2587:H2587"/>
    <mergeCell ref="A2466:H2466"/>
    <mergeCell ref="A2580:H2580"/>
    <mergeCell ref="A373:H373"/>
    <mergeCell ref="A671:H671"/>
    <mergeCell ref="A2159:H2159"/>
    <mergeCell ref="A1100:H1100"/>
    <mergeCell ref="B491:H491"/>
    <mergeCell ref="B1821:H1821"/>
    <mergeCell ref="A673:H673"/>
    <mergeCell ref="A241:H241"/>
    <mergeCell ref="A2484:H2484"/>
    <mergeCell ref="A399:H399"/>
    <mergeCell ref="A1425:H1425"/>
    <mergeCell ref="A1729:H1729"/>
    <mergeCell ref="A355:H355"/>
    <mergeCell ref="A1302:H1302"/>
    <mergeCell ref="A243:H243"/>
    <mergeCell ref="A1424:H1424"/>
    <mergeCell ref="A1460:H1460"/>
    <mergeCell ref="A1731:H1731"/>
    <mergeCell ref="A2486:H2486"/>
    <mergeCell ref="A1416:H1416"/>
    <mergeCell ref="A997:H997"/>
    <mergeCell ref="A236:H236"/>
    <mergeCell ref="A1426:H1426"/>
    <mergeCell ref="A1724:H1724"/>
    <mergeCell ref="B2299:H2299"/>
    <mergeCell ref="B176:H176"/>
    <mergeCell ref="A999:H999"/>
    <mergeCell ref="A1297:H1297"/>
    <mergeCell ref="A1726:H1726"/>
    <mergeCell ref="B812:H812"/>
    <mergeCell ref="A839:H839"/>
    <mergeCell ref="A2109:H2109"/>
    <mergeCell ref="A412:H412"/>
    <mergeCell ref="A1050:H1050"/>
    <mergeCell ref="A623:H623"/>
    <mergeCell ref="A2530:H2530"/>
    <mergeCell ref="A2111:H2111"/>
    <mergeCell ref="A1796:H1796"/>
    <mergeCell ref="A1350:H1350"/>
    <mergeCell ref="B2038:C2038"/>
    <mergeCell ref="A2540:H2540"/>
    <mergeCell ref="B227:H227"/>
    <mergeCell ref="A624:H624"/>
    <mergeCell ref="B1926:H1926"/>
    <mergeCell ref="A1366:H1366"/>
    <mergeCell ref="A307:H307"/>
    <mergeCell ref="A1524:H1524"/>
    <mergeCell ref="A342:H342"/>
    <mergeCell ref="A613:H613"/>
    <mergeCell ref="A1368:H1368"/>
    <mergeCell ref="A1526:H1526"/>
    <mergeCell ref="A771:H771"/>
    <mergeCell ref="A1063:H1063"/>
    <mergeCell ref="A308:H308"/>
    <mergeCell ref="A344:H344"/>
    <mergeCell ref="A642:H642"/>
    <mergeCell ref="B1181:H1181"/>
    <mergeCell ref="A1826:H1826"/>
    <mergeCell ref="B1455:C1455"/>
    <mergeCell ref="A39:H39"/>
    <mergeCell ref="B1610:H1610"/>
    <mergeCell ref="A608:H608"/>
    <mergeCell ref="A2553:H2553"/>
    <mergeCell ref="A1521:H1521"/>
    <mergeCell ref="B2358:C2358"/>
    <mergeCell ref="B2516:C2516"/>
    <mergeCell ref="A339:H339"/>
    <mergeCell ref="A781:H781"/>
    <mergeCell ref="A1210:H1210"/>
    <mergeCell ref="A2480:H2480"/>
    <mergeCell ref="B1184:H1184"/>
    <mergeCell ref="A1420:H1420"/>
    <mergeCell ref="A776:H776"/>
    <mergeCell ref="A21:H21"/>
    <mergeCell ref="A2482:H2482"/>
    <mergeCell ref="A1727:H1727"/>
    <mergeCell ref="A2264:H2264"/>
    <mergeCell ref="A695:H695"/>
    <mergeCell ref="A993:H993"/>
    <mergeCell ref="A2481:H2481"/>
    <mergeCell ref="A784:H784"/>
    <mergeCell ref="A1422:H1422"/>
    <mergeCell ref="A1837:H1837"/>
    <mergeCell ref="A1082:H1082"/>
    <mergeCell ref="A23:H23"/>
    <mergeCell ref="A1720:H1720"/>
    <mergeCell ref="A1756:H1756"/>
    <mergeCell ref="A181:H181"/>
    <mergeCell ref="A2266:H2266"/>
    <mergeCell ref="A2054:H2054"/>
    <mergeCell ref="A995:H995"/>
    <mergeCell ref="B2301:H2301"/>
    <mergeCell ref="B2086:H2086"/>
    <mergeCell ref="A2483:H2483"/>
    <mergeCell ref="A1722:H1722"/>
    <mergeCell ref="B2410:C2410"/>
    <mergeCell ref="A481:H481"/>
    <mergeCell ref="B599:H599"/>
    <mergeCell ref="A352:H352"/>
    <mergeCell ref="A83:H83"/>
    <mergeCell ref="A835:H835"/>
    <mergeCell ref="B2298:H2298"/>
    <mergeCell ref="A408:H408"/>
    <mergeCell ref="A1896:H1896"/>
    <mergeCell ref="A837:H837"/>
    <mergeCell ref="A1135:H1135"/>
    <mergeCell ref="A410:H410"/>
    <mergeCell ref="A1740:H1740"/>
    <mergeCell ref="A1898:H1898"/>
    <mergeCell ref="B492:H492"/>
    <mergeCell ref="A1137:H1137"/>
    <mergeCell ref="A1471:H1471"/>
    <mergeCell ref="B494:H494"/>
    <mergeCell ref="A1893:H1893"/>
    <mergeCell ref="B1713:H1713"/>
    <mergeCell ref="A1153:H1153"/>
    <mergeCell ref="A1795:H1795"/>
    <mergeCell ref="A736:H736"/>
    <mergeCell ref="A1463:H1463"/>
    <mergeCell ref="A1148:H1148"/>
    <mergeCell ref="A1517:H1517"/>
    <mergeCell ref="A2209:H2209"/>
    <mergeCell ref="A2420:H2420"/>
    <mergeCell ref="B2458:H2458"/>
    <mergeCell ref="A2578:H2578"/>
    <mergeCell ref="B969:H969"/>
    <mergeCell ref="B1607:H1607"/>
    <mergeCell ref="B1079:C1079"/>
    <mergeCell ref="A149:H149"/>
    <mergeCell ref="A447:H447"/>
    <mergeCell ref="B1180:H1180"/>
    <mergeCell ref="A876:H876"/>
    <mergeCell ref="A151:H151"/>
    <mergeCell ref="A1533:H1533"/>
    <mergeCell ref="A449:H449"/>
    <mergeCell ref="A878:H878"/>
    <mergeCell ref="A144:H144"/>
    <mergeCell ref="A780:H780"/>
    <mergeCell ref="A1833:H1833"/>
    <mergeCell ref="A2262:H2262"/>
    <mergeCell ref="A782:H782"/>
    <mergeCell ref="A1835:H1835"/>
    <mergeCell ref="B1022:H1022"/>
    <mergeCell ref="B1925:H1925"/>
    <mergeCell ref="A79:H79"/>
    <mergeCell ref="A2593:H2593"/>
    <mergeCell ref="A1990:H1990"/>
    <mergeCell ref="A2288:H2288"/>
    <mergeCell ref="A501:H501"/>
    <mergeCell ref="A1563:H1563"/>
    <mergeCell ref="A74:H74"/>
    <mergeCell ref="A2588:H2588"/>
    <mergeCell ref="A503:H503"/>
    <mergeCell ref="A679:H679"/>
    <mergeCell ref="A2649:H2649"/>
    <mergeCell ref="A76:H76"/>
    <mergeCell ref="A1564:H1564"/>
    <mergeCell ref="A1520:H1520"/>
    <mergeCell ref="B1980:H1980"/>
    <mergeCell ref="A1889:H1889"/>
    <mergeCell ref="A92:H92"/>
    <mergeCell ref="A521:H521"/>
    <mergeCell ref="A1574:H1574"/>
    <mergeCell ref="A819:H819"/>
    <mergeCell ref="A2009:H2009"/>
    <mergeCell ref="A2003:H2003"/>
    <mergeCell ref="A94:H94"/>
    <mergeCell ref="A523:H523"/>
    <mergeCell ref="A2214:H2214"/>
    <mergeCell ref="A821:H821"/>
    <mergeCell ref="A87:H87"/>
    <mergeCell ref="A1793:H1793"/>
    <mergeCell ref="A1915:H1915"/>
    <mergeCell ref="A516:H516"/>
    <mergeCell ref="B1395:H1395"/>
    <mergeCell ref="A89:H89"/>
    <mergeCell ref="A2207:H2207"/>
    <mergeCell ref="B1397:H1397"/>
    <mergeCell ref="B2035:H2035"/>
    <mergeCell ref="A1788:H1788"/>
    <mergeCell ref="A1633:H1633"/>
    <mergeCell ref="A574:H574"/>
    <mergeCell ref="A234:H234"/>
    <mergeCell ref="A872:H872"/>
    <mergeCell ref="A1206:H1206"/>
    <mergeCell ref="A147:H147"/>
    <mergeCell ref="A451:H451"/>
    <mergeCell ref="A1635:H1635"/>
    <mergeCell ref="A1933:H1933"/>
    <mergeCell ref="A874:H874"/>
    <mergeCell ref="A1470:H1470"/>
    <mergeCell ref="A1628:H1628"/>
    <mergeCell ref="A569:H569"/>
    <mergeCell ref="B1290:H1290"/>
    <mergeCell ref="A1935:H1935"/>
    <mergeCell ref="A148:H148"/>
    <mergeCell ref="A1201:H1201"/>
    <mergeCell ref="A446:H446"/>
    <mergeCell ref="A2531:H2531"/>
    <mergeCell ref="A1630:H1630"/>
    <mergeCell ref="B1450:H1450"/>
    <mergeCell ref="B1291:H1291"/>
    <mergeCell ref="B2198:C2198"/>
    <mergeCell ref="B2511:H2511"/>
    <mergeCell ref="B864:H864"/>
    <mergeCell ref="A885:H885"/>
    <mergeCell ref="A1043:H1043"/>
    <mergeCell ref="A464:H464"/>
    <mergeCell ref="B2193:H2193"/>
    <mergeCell ref="A1946:H1946"/>
    <mergeCell ref="A616:H616"/>
    <mergeCell ref="A2584:H2584"/>
    <mergeCell ref="A1045:H1045"/>
    <mergeCell ref="A290:H290"/>
    <mergeCell ref="B2404:H2404"/>
    <mergeCell ref="A588:H588"/>
    <mergeCell ref="A2315:H2315"/>
    <mergeCell ref="A2586:H2586"/>
    <mergeCell ref="B706:H706"/>
    <mergeCell ref="A459:H459"/>
    <mergeCell ref="A617:H617"/>
    <mergeCell ref="B279:H279"/>
    <mergeCell ref="A1860:H1860"/>
    <mergeCell ref="B708:H708"/>
    <mergeCell ref="B1978:H1978"/>
    <mergeCell ref="A615:H615"/>
    <mergeCell ref="B2407:H2407"/>
    <mergeCell ref="A2005:H2005"/>
    <mergeCell ref="A1999:H1999"/>
    <mergeCell ref="A606:H606"/>
    <mergeCell ref="A187:H187"/>
    <mergeCell ref="A1578:H1578"/>
    <mergeCell ref="A1572:H1572"/>
    <mergeCell ref="A1730:H1730"/>
    <mergeCell ref="A2001:H2001"/>
    <mergeCell ref="B121:H121"/>
    <mergeCell ref="B759:H759"/>
    <mergeCell ref="A512:H512"/>
    <mergeCell ref="A2000:H2000"/>
    <mergeCell ref="B332:H332"/>
    <mergeCell ref="B1662:H1662"/>
    <mergeCell ref="A85:H85"/>
    <mergeCell ref="B1820:H1820"/>
    <mergeCell ref="A1573:H1573"/>
    <mergeCell ref="A2002:H2002"/>
    <mergeCell ref="B175:H175"/>
    <mergeCell ref="A2056:H2056"/>
    <mergeCell ref="A1301:H1301"/>
    <mergeCell ref="A986:H986"/>
    <mergeCell ref="A1415:H1415"/>
    <mergeCell ref="B1235:H1235"/>
    <mergeCell ref="A1626:H1626"/>
    <mergeCell ref="A2476:H2476"/>
    <mergeCell ref="A556:H556"/>
    <mergeCell ref="A714:H714"/>
    <mergeCell ref="A251:H251"/>
    <mergeCell ref="A558:H558"/>
    <mergeCell ref="A716:H716"/>
    <mergeCell ref="A2046:H2046"/>
    <mergeCell ref="A253:H253"/>
    <mergeCell ref="A1619:H1619"/>
    <mergeCell ref="B1132:H1132"/>
    <mergeCell ref="A1041:H1041"/>
    <mergeCell ref="A1314:H1314"/>
    <mergeCell ref="A2102:H2102"/>
    <mergeCell ref="A884:H884"/>
    <mergeCell ref="B2304:C2304"/>
    <mergeCell ref="A1670:H1670"/>
    <mergeCell ref="A1243:H1243"/>
    <mergeCell ref="A1672:H1672"/>
    <mergeCell ref="A938:H938"/>
    <mergeCell ref="A2426:H2426"/>
    <mergeCell ref="A1367:H1367"/>
    <mergeCell ref="A297:H297"/>
    <mergeCell ref="B2246:H2246"/>
    <mergeCell ref="A946:H946"/>
    <mergeCell ref="A1244:H1244"/>
    <mergeCell ref="A185:H185"/>
    <mergeCell ref="A2428:H2428"/>
    <mergeCell ref="A1667:H1667"/>
    <mergeCell ref="B658:C658"/>
    <mergeCell ref="B119:H119"/>
    <mergeCell ref="A941:H941"/>
    <mergeCell ref="B2512:H2512"/>
    <mergeCell ref="B2197:H2197"/>
    <mergeCell ref="B761:H761"/>
    <mergeCell ref="A201:H201"/>
    <mergeCell ref="A1385:H1385"/>
    <mergeCell ref="A1683:H1683"/>
    <mergeCell ref="A1841:H1841"/>
    <mergeCell ref="A1086:H1086"/>
    <mergeCell ref="B443:H443"/>
    <mergeCell ref="A1843:H1843"/>
    <mergeCell ref="A196:H196"/>
    <mergeCell ref="A1088:H1088"/>
    <mergeCell ref="A354:H354"/>
    <mergeCell ref="A625:H625"/>
    <mergeCell ref="B16:H16"/>
    <mergeCell ref="B1504:H1504"/>
    <mergeCell ref="A198:H198"/>
    <mergeCell ref="B1772:C1772"/>
    <mergeCell ref="A356:H356"/>
    <mergeCell ref="B1927:H1927"/>
    <mergeCell ref="B283:C283"/>
    <mergeCell ref="A2045:H2045"/>
    <mergeCell ref="B11:H11"/>
    <mergeCell ref="A1098:H1098"/>
    <mergeCell ref="B440:H440"/>
    <mergeCell ref="A38:H38"/>
    <mergeCell ref="A2042:H2042"/>
    <mergeCell ref="A249:H249"/>
    <mergeCell ref="A801:H801"/>
    <mergeCell ref="A2370:H2370"/>
    <mergeCell ref="A1615:H1615"/>
    <mergeCell ref="A40:H40"/>
    <mergeCell ref="A1737:H1737"/>
    <mergeCell ref="B1128:H1128"/>
    <mergeCell ref="A338:H338"/>
    <mergeCell ref="B1557:H1557"/>
    <mergeCell ref="A2342:H2342"/>
    <mergeCell ref="A672:H672"/>
    <mergeCell ref="A555:H555"/>
    <mergeCell ref="A1310:H1310"/>
    <mergeCell ref="A2500:H2500"/>
    <mergeCell ref="A1101:H1101"/>
    <mergeCell ref="B1130:H1130"/>
    <mergeCell ref="A340:H340"/>
    <mergeCell ref="B2618:H2618"/>
    <mergeCell ref="A2371:H2371"/>
    <mergeCell ref="A1312:H1312"/>
    <mergeCell ref="B1239:C1239"/>
    <mergeCell ref="A252:H252"/>
    <mergeCell ref="A723:H723"/>
    <mergeCell ref="A1152:H1152"/>
    <mergeCell ref="A725:H725"/>
    <mergeCell ref="A2055:H2055"/>
    <mergeCell ref="A2093:H2093"/>
    <mergeCell ref="A2213:H2213"/>
    <mergeCell ref="A1154:H1154"/>
    <mergeCell ref="A1786:H1786"/>
    <mergeCell ref="A2424:H2424"/>
    <mergeCell ref="B1984:C1984"/>
    <mergeCell ref="A2215:H2215"/>
    <mergeCell ref="A726:H726"/>
    <mergeCell ref="B388:H388"/>
    <mergeCell ref="B546:H546"/>
    <mergeCell ref="A1781:H1781"/>
    <mergeCell ref="B383:H383"/>
    <mergeCell ref="A1051:H1051"/>
    <mergeCell ref="A1349:H1349"/>
    <mergeCell ref="A1839:H1839"/>
    <mergeCell ref="A2435:H2435"/>
    <mergeCell ref="A1682:H1682"/>
    <mergeCell ref="A1676:H1676"/>
    <mergeCell ref="A1834:H1834"/>
    <mergeCell ref="B1502:H1502"/>
    <mergeCell ref="B225:H225"/>
    <mergeCell ref="B13:H13"/>
    <mergeCell ref="A466:H466"/>
    <mergeCell ref="A34:H34"/>
    <mergeCell ref="A2165:H2165"/>
    <mergeCell ref="A36:H36"/>
    <mergeCell ref="A1404:H1404"/>
    <mergeCell ref="A2577:H2577"/>
    <mergeCell ref="A668:H668"/>
    <mergeCell ref="A1097:H1097"/>
    <mergeCell ref="A2465:H2465"/>
    <mergeCell ref="A2150:H2150"/>
    <mergeCell ref="A1091:H1091"/>
    <mergeCell ref="A678:H678"/>
    <mergeCell ref="A2579:H2579"/>
    <mergeCell ref="A670:H670"/>
    <mergeCell ref="A978:H978"/>
    <mergeCell ref="A2151:H2151"/>
    <mergeCell ref="A1092:H1092"/>
    <mergeCell ref="A823:H823"/>
    <mergeCell ref="A1878:H1878"/>
    <mergeCell ref="A91:H91"/>
    <mergeCell ref="A660:H660"/>
    <mergeCell ref="A994:H994"/>
    <mergeCell ref="A1880:H1880"/>
    <mergeCell ref="A93:H93"/>
    <mergeCell ref="A1423:H1423"/>
    <mergeCell ref="A391:H391"/>
    <mergeCell ref="A1721:H1721"/>
    <mergeCell ref="A2211:H2211"/>
    <mergeCell ref="B923:C923"/>
    <mergeCell ref="B1236:H1236"/>
    <mergeCell ref="A2204:H2204"/>
    <mergeCell ref="A1479:H1479"/>
    <mergeCell ref="A1777:H1777"/>
    <mergeCell ref="A2048:H2048"/>
    <mergeCell ref="B1238:H1238"/>
    <mergeCell ref="A2206:H2206"/>
    <mergeCell ref="A75:H75"/>
    <mergeCell ref="A1808:H1808"/>
    <mergeCell ref="A749:H749"/>
    <mergeCell ref="A409:H409"/>
    <mergeCell ref="A1047:H1047"/>
    <mergeCell ref="A2535:H2535"/>
    <mergeCell ref="A838:H838"/>
    <mergeCell ref="A1136:H1136"/>
    <mergeCell ref="A2108:H2108"/>
    <mergeCell ref="A1049:H1049"/>
    <mergeCell ref="A2537:H2537"/>
    <mergeCell ref="A2222:H2222"/>
    <mergeCell ref="A1461:H1461"/>
    <mergeCell ref="A404:H404"/>
    <mergeCell ref="A2110:H2110"/>
    <mergeCell ref="A621:H621"/>
    <mergeCell ref="A2522:H2522"/>
    <mergeCell ref="A735:H735"/>
    <mergeCell ref="A289:H289"/>
    <mergeCell ref="B2352:H2352"/>
    <mergeCell ref="A462:H462"/>
    <mergeCell ref="A1792:H1792"/>
    <mergeCell ref="A1950:H1950"/>
    <mergeCell ref="A1189:H1189"/>
    <mergeCell ref="A305:H305"/>
    <mergeCell ref="A463:H463"/>
    <mergeCell ref="A1516:H1516"/>
    <mergeCell ref="A465:H465"/>
    <mergeCell ref="A1518:H1518"/>
    <mergeCell ref="B120:H120"/>
    <mergeCell ref="B278:H278"/>
    <mergeCell ref="B1608:H1608"/>
    <mergeCell ref="B1876:C1876"/>
    <mergeCell ref="A1419:H1419"/>
    <mergeCell ref="A2472:H2472"/>
    <mergeCell ref="A1413:H1413"/>
    <mergeCell ref="A939:H939"/>
    <mergeCell ref="A2630:H2630"/>
    <mergeCell ref="A1150:H1150"/>
    <mergeCell ref="A1421:H1421"/>
    <mergeCell ref="B173:H173"/>
    <mergeCell ref="A2632:H2632"/>
    <mergeCell ref="B1023:H1023"/>
    <mergeCell ref="B1234:H1234"/>
    <mergeCell ref="A1145:H1145"/>
    <mergeCell ref="A834:H834"/>
    <mergeCell ref="A1887:H1887"/>
    <mergeCell ref="A2322:H2322"/>
    <mergeCell ref="A2316:H2316"/>
    <mergeCell ref="A827:H827"/>
    <mergeCell ref="A2650:H2650"/>
    <mergeCell ref="A400:H400"/>
    <mergeCell ref="A1888:H1888"/>
    <mergeCell ref="B226:H226"/>
    <mergeCell ref="A829:H829"/>
    <mergeCell ref="A2317:H2317"/>
    <mergeCell ref="B1824:C1824"/>
    <mergeCell ref="A402:H402"/>
    <mergeCell ref="B2137:H2137"/>
    <mergeCell ref="A2645:H2645"/>
    <mergeCell ref="A1890:H1890"/>
    <mergeCell ref="B2139:H2139"/>
    <mergeCell ref="B2462:H2462"/>
    <mergeCell ref="A128:H128"/>
    <mergeCell ref="A891:H891"/>
    <mergeCell ref="A136:H136"/>
    <mergeCell ref="A2221:H2221"/>
    <mergeCell ref="A1512:H1512"/>
    <mergeCell ref="A428:H428"/>
    <mergeCell ref="A1941:H1941"/>
    <mergeCell ref="A1191:H1191"/>
    <mergeCell ref="A1514:H1514"/>
    <mergeCell ref="A1943:H1943"/>
    <mergeCell ref="A873:H873"/>
    <mergeCell ref="A1242:H1242"/>
    <mergeCell ref="A1198:H1198"/>
    <mergeCell ref="A929:H929"/>
    <mergeCell ref="A2259:H2259"/>
    <mergeCell ref="A2417:H2417"/>
    <mergeCell ref="A2269:H2269"/>
    <mergeCell ref="A1954:H1954"/>
    <mergeCell ref="A1199:H1199"/>
    <mergeCell ref="A2261:H2261"/>
    <mergeCell ref="A1527:H1527"/>
    <mergeCell ref="A772:H772"/>
    <mergeCell ref="A1956:H1956"/>
    <mergeCell ref="B1021:H1021"/>
    <mergeCell ref="A1987:H1987"/>
    <mergeCell ref="A200:H200"/>
    <mergeCell ref="A1261:H1261"/>
    <mergeCell ref="A202:H202"/>
    <mergeCell ref="A1255:H1255"/>
    <mergeCell ref="A500:H500"/>
    <mergeCell ref="A73:H73"/>
    <mergeCell ref="A1263:H1263"/>
    <mergeCell ref="A502:H502"/>
    <mergeCell ref="A1884:H1884"/>
    <mergeCell ref="A2639:H2639"/>
    <mergeCell ref="A197:H197"/>
    <mergeCell ref="B918:H918"/>
    <mergeCell ref="A2641:H2641"/>
    <mergeCell ref="A1886:H1886"/>
    <mergeCell ref="B2406:H2406"/>
    <mergeCell ref="B765:C765"/>
    <mergeCell ref="A553:H553"/>
    <mergeCell ref="A1245:H1245"/>
    <mergeCell ref="A887:H887"/>
    <mergeCell ref="A940:H940"/>
    <mergeCell ref="A2369:H2369"/>
    <mergeCell ref="A1299:H1299"/>
    <mergeCell ref="A215:H215"/>
    <mergeCell ref="B760:H760"/>
    <mergeCell ref="A880:H880"/>
    <mergeCell ref="A513:H513"/>
    <mergeCell ref="A1187:H1187"/>
    <mergeCell ref="B1508:C1508"/>
    <mergeCell ref="B333:H333"/>
    <mergeCell ref="A724:H724"/>
    <mergeCell ref="A2360:H2360"/>
    <mergeCell ref="B762:H762"/>
    <mergeCell ref="A882:H882"/>
    <mergeCell ref="A2212:H2212"/>
    <mergeCell ref="A2326:H2326"/>
    <mergeCell ref="A1785:H1785"/>
    <mergeCell ref="A1899:H1899"/>
    <mergeCell ref="A1169:H1169"/>
    <mergeCell ref="A137:H137"/>
    <mergeCell ref="A1029:H1029"/>
    <mergeCell ref="A572:H572"/>
    <mergeCell ref="A1625:H1625"/>
    <mergeCell ref="A566:H566"/>
    <mergeCell ref="A145:H145"/>
    <mergeCell ref="A139:H139"/>
    <mergeCell ref="A2382:H2382"/>
    <mergeCell ref="A1627:H1627"/>
    <mergeCell ref="A1200:H1200"/>
    <mergeCell ref="A895:H895"/>
    <mergeCell ref="A140:H140"/>
    <mergeCell ref="A1040:H1040"/>
    <mergeCell ref="A1469:H1469"/>
    <mergeCell ref="A928:H928"/>
    <mergeCell ref="A2101:H2101"/>
    <mergeCell ref="A1042:H1042"/>
    <mergeCell ref="A287:H287"/>
    <mergeCell ref="A1680:H1680"/>
    <mergeCell ref="A2583:H2583"/>
    <mergeCell ref="A2103:H2103"/>
    <mergeCell ref="A1986:H1986"/>
    <mergeCell ref="A193:H193"/>
    <mergeCell ref="A610:H610"/>
    <mergeCell ref="B705:H705"/>
    <mergeCell ref="A1096:H1096"/>
    <mergeCell ref="A1254:H1254"/>
    <mergeCell ref="B2510:H2510"/>
    <mergeCell ref="B1074:H1074"/>
    <mergeCell ref="A1996:H1996"/>
    <mergeCell ref="A184:H184"/>
    <mergeCell ref="A2154:H2154"/>
    <mergeCell ref="A1998:H1998"/>
    <mergeCell ref="A1264:H1264"/>
    <mergeCell ref="A509:H509"/>
    <mergeCell ref="A2156:H2156"/>
    <mergeCell ref="A2149:H2149"/>
    <mergeCell ref="A1570:H1570"/>
    <mergeCell ref="A511:H511"/>
    <mergeCell ref="A669:H669"/>
    <mergeCell ref="B331:H331"/>
    <mergeCell ref="B330:H330"/>
    <mergeCell ref="A351:H351"/>
    <mergeCell ref="A239:H239"/>
    <mergeCell ref="A1412:H1412"/>
    <mergeCell ref="B1870:H1870"/>
    <mergeCell ref="A1300:H1300"/>
    <mergeCell ref="A985:H985"/>
    <mergeCell ref="B813:H813"/>
    <mergeCell ref="A1414:H1414"/>
    <mergeCell ref="B174:H174"/>
    <mergeCell ref="A2379:H2379"/>
    <mergeCell ref="A2223:H2223"/>
    <mergeCell ref="A2381:H2381"/>
    <mergeCell ref="A1036:H1036"/>
    <mergeCell ref="A1011:H1011"/>
    <mergeCell ref="A250:H250"/>
    <mergeCell ref="A2097:H2097"/>
    <mergeCell ref="A1038:H1038"/>
    <mergeCell ref="A619:H619"/>
    <mergeCell ref="A2526:H2526"/>
    <mergeCell ref="B179:C179"/>
    <mergeCell ref="A2063:H2063"/>
    <mergeCell ref="A2099:H2099"/>
    <mergeCell ref="A285:H285"/>
    <mergeCell ref="A306:H306"/>
    <mergeCell ref="A1636:H1636"/>
    <mergeCell ref="A2528:H2528"/>
    <mergeCell ref="A1794:H1794"/>
    <mergeCell ref="A1033:H1033"/>
    <mergeCell ref="A2363:H2363"/>
    <mergeCell ref="A2521:H2521"/>
    <mergeCell ref="A2094:H2094"/>
    <mergeCell ref="A1362:H1362"/>
    <mergeCell ref="B1451:H1451"/>
    <mergeCell ref="A1370:H1370"/>
    <mergeCell ref="A1364:H1364"/>
    <mergeCell ref="A937:H937"/>
    <mergeCell ref="A182:H182"/>
    <mergeCell ref="A304:H304"/>
    <mergeCell ref="A2425:H2425"/>
    <mergeCell ref="A296:H296"/>
    <mergeCell ref="B124:H124"/>
    <mergeCell ref="A936:H936"/>
    <mergeCell ref="A1365:H1365"/>
    <mergeCell ref="A2427:H2427"/>
    <mergeCell ref="B1179:H1179"/>
    <mergeCell ref="B2563:H2563"/>
    <mergeCell ref="A1838:H1838"/>
    <mergeCell ref="A779:H779"/>
    <mergeCell ref="B2565:H2565"/>
    <mergeCell ref="A2049:H2049"/>
    <mergeCell ref="A2478:H2478"/>
    <mergeCell ref="A2163:H2163"/>
    <mergeCell ref="A622:H622"/>
    <mergeCell ref="A774:H774"/>
    <mergeCell ref="A19:H19"/>
    <mergeCell ref="A2050:H2050"/>
    <mergeCell ref="A353:H353"/>
    <mergeCell ref="A991:H991"/>
    <mergeCell ref="A1105:H1105"/>
    <mergeCell ref="B811:H811"/>
    <mergeCell ref="A2473:H2473"/>
    <mergeCell ref="A2052:H2052"/>
    <mergeCell ref="B711:C711"/>
    <mergeCell ref="A1405:H1405"/>
    <mergeCell ref="B1979:H1979"/>
    <mergeCell ref="A37:H37"/>
    <mergeCell ref="B1823:H1823"/>
    <mergeCell ref="A1307:H1307"/>
    <mergeCell ref="A248:H248"/>
    <mergeCell ref="A1465:H1465"/>
    <mergeCell ref="A406:H406"/>
    <mergeCell ref="A1736:H1736"/>
    <mergeCell ref="A247:H247"/>
    <mergeCell ref="A1309:H1309"/>
    <mergeCell ref="B67:H67"/>
    <mergeCell ref="A1467:H1467"/>
    <mergeCell ref="A1738:H1738"/>
    <mergeCell ref="B1027:C1027"/>
    <mergeCell ref="B69:H69"/>
    <mergeCell ref="A1304:H1304"/>
    <mergeCell ref="A2519:H2519"/>
    <mergeCell ref="A1149:H1149"/>
    <mergeCell ref="A2631:H2631"/>
    <mergeCell ref="A722:H722"/>
    <mergeCell ref="B64:H64"/>
    <mergeCell ref="A1151:H1151"/>
    <mergeCell ref="A2633:H2633"/>
    <mergeCell ref="A2421:H2421"/>
    <mergeCell ref="A1144:H1144"/>
    <mergeCell ref="A717:H717"/>
    <mergeCell ref="A2423:H2423"/>
    <mergeCell ref="A2205:H2205"/>
    <mergeCell ref="A1146:H1146"/>
    <mergeCell ref="B122:H122"/>
    <mergeCell ref="A934:H934"/>
    <mergeCell ref="A1480:H1480"/>
    <mergeCell ref="A1363:H1363"/>
    <mergeCell ref="A2416:H2416"/>
    <mergeCell ref="A719:H719"/>
    <mergeCell ref="B2143:C2143"/>
    <mergeCell ref="A2263:H2263"/>
    <mergeCell ref="A1477:H1477"/>
    <mergeCell ref="A347:H347"/>
    <mergeCell ref="A1531:H1531"/>
    <mergeCell ref="A1829:H1829"/>
    <mergeCell ref="A2258:H2258"/>
    <mergeCell ref="A2434:H2434"/>
    <mergeCell ref="A349:H349"/>
    <mergeCell ref="A778:H778"/>
    <mergeCell ref="A1831:H1831"/>
    <mergeCell ref="A2469:H2469"/>
    <mergeCell ref="A2260:H2260"/>
    <mergeCell ref="A2594:H2594"/>
    <mergeCell ref="A947:H947"/>
    <mergeCell ref="B551:C551"/>
    <mergeCell ref="A788:H788"/>
    <mergeCell ref="A2276:H2276"/>
    <mergeCell ref="A2155:H2155"/>
    <mergeCell ref="A1094:H1094"/>
    <mergeCell ref="A2576:H2576"/>
    <mergeCell ref="A1104:H1104"/>
    <mergeCell ref="A789:H789"/>
    <mergeCell ref="A72:H72"/>
    <mergeCell ref="A1427:H1427"/>
    <mergeCell ref="A1842:H1842"/>
    <mergeCell ref="A28:H28"/>
    <mergeCell ref="A2157:H2157"/>
    <mergeCell ref="A2488:H2488"/>
    <mergeCell ref="A1089:H1089"/>
    <mergeCell ref="A30:H30"/>
    <mergeCell ref="A2061:H2061"/>
    <mergeCell ref="A88:H88"/>
    <mergeCell ref="A359:H359"/>
    <mergeCell ref="A517:H517"/>
    <mergeCell ref="A54:H54"/>
    <mergeCell ref="B2303:H2303"/>
    <mergeCell ref="A90:H90"/>
    <mergeCell ref="B17:C17"/>
    <mergeCell ref="A519:H519"/>
    <mergeCell ref="A842:H842"/>
    <mergeCell ref="A1140:H1140"/>
    <mergeCell ref="A1903:H1903"/>
    <mergeCell ref="A2201:H2201"/>
    <mergeCell ref="A1142:H1142"/>
    <mergeCell ref="A1117:H1117"/>
    <mergeCell ref="A1476:H1476"/>
    <mergeCell ref="B1558:H1558"/>
    <mergeCell ref="A2203:H2203"/>
    <mergeCell ref="A1776:H1776"/>
    <mergeCell ref="B2619:H2619"/>
    <mergeCell ref="B1560:H1560"/>
    <mergeCell ref="A1202:H1202"/>
    <mergeCell ref="A143:H143"/>
    <mergeCell ref="B2621:H2621"/>
    <mergeCell ref="A2105:H2105"/>
    <mergeCell ref="A1046:H1046"/>
    <mergeCell ref="A1204:H1204"/>
    <mergeCell ref="A2534:H2534"/>
    <mergeCell ref="A2648:H2648"/>
    <mergeCell ref="A1039:H1039"/>
    <mergeCell ref="A1197:H1197"/>
    <mergeCell ref="A1468:H1468"/>
    <mergeCell ref="A2527:H2527"/>
    <mergeCell ref="B1133:C1133"/>
    <mergeCell ref="B2463:C2463"/>
    <mergeCell ref="B1288:H1288"/>
    <mergeCell ref="A2100:H2100"/>
    <mergeCell ref="A2256:H2256"/>
    <mergeCell ref="A2529:H2529"/>
    <mergeCell ref="A2590:H2590"/>
    <mergeCell ref="B2034:H2034"/>
    <mergeCell ref="B1289:H1289"/>
    <mergeCell ref="B547:H547"/>
    <mergeCell ref="A881:H881"/>
    <mergeCell ref="A1188:H1188"/>
    <mergeCell ref="A460:H460"/>
    <mergeCell ref="A454:H454"/>
    <mergeCell ref="A889:H889"/>
    <mergeCell ref="A612:H612"/>
    <mergeCell ref="A883:H883"/>
    <mergeCell ref="A1942:H1942"/>
    <mergeCell ref="A1515:H1515"/>
    <mergeCell ref="A2153:H2153"/>
    <mergeCell ref="B389:C389"/>
    <mergeCell ref="A1944:H1944"/>
    <mergeCell ref="A2582:H2582"/>
    <mergeCell ref="A2267:H2267"/>
    <mergeCell ref="A455:H455"/>
    <mergeCell ref="A457:H457"/>
    <mergeCell ref="B277:H277"/>
    <mergeCell ref="B1661:H1661"/>
    <mergeCell ref="A1357:H1357"/>
    <mergeCell ref="A86:H86"/>
    <mergeCell ref="B2090:H2090"/>
    <mergeCell ref="A2329:H2329"/>
    <mergeCell ref="A515:H515"/>
    <mergeCell ref="A1568:H1568"/>
    <mergeCell ref="A1997:H1997"/>
    <mergeCell ref="A508:H508"/>
    <mergeCell ref="A2629:H2629"/>
    <mergeCell ref="A81:H81"/>
    <mergeCell ref="A1411:H1411"/>
    <mergeCell ref="B1294:C1294"/>
    <mergeCell ref="A2324:H2324"/>
    <mergeCell ref="A1569:H1569"/>
    <mergeCell ref="A2595:H2595"/>
    <mergeCell ref="A1571:H1571"/>
    <mergeCell ref="B1233:H1233"/>
    <mergeCell ref="A2313:H2313"/>
    <mergeCell ref="A2471:H2471"/>
    <mergeCell ref="A2008:H2008"/>
    <mergeCell ref="A2044:H2044"/>
    <mergeCell ref="A397:H397"/>
    <mergeCell ref="B1073:H1073"/>
    <mergeCell ref="A826:H826"/>
    <mergeCell ref="A1464:H1464"/>
    <mergeCell ref="A984:H984"/>
    <mergeCell ref="A2010:H2010"/>
    <mergeCell ref="A2314:H2314"/>
    <mergeCell ref="A1195:H1195"/>
    <mergeCell ref="A828:H828"/>
    <mergeCell ref="A2525:H2525"/>
    <mergeCell ref="A254:H254"/>
    <mergeCell ref="A1584:H1584"/>
    <mergeCell ref="A554:H554"/>
    <mergeCell ref="A127:H127"/>
    <mergeCell ref="A1938:H1938"/>
    <mergeCell ref="A879:H879"/>
    <mergeCell ref="A854:H854"/>
    <mergeCell ref="B817:C817"/>
    <mergeCell ref="A1940:H1940"/>
    <mergeCell ref="A1513:H1513"/>
    <mergeCell ref="A1208:H1208"/>
    <mergeCell ref="A453:H453"/>
    <mergeCell ref="A2538:H2538"/>
    <mergeCell ref="A26:H26"/>
    <mergeCell ref="A267:H267"/>
    <mergeCell ref="A1668:H1668"/>
    <mergeCell ref="A1353:H1353"/>
    <mergeCell ref="A1241:H1241"/>
    <mergeCell ref="A926:H926"/>
    <mergeCell ref="A2414:H2414"/>
    <mergeCell ref="A1355:H1355"/>
    <mergeCell ref="A1968:H1968"/>
    <mergeCell ref="A892:H892"/>
    <mergeCell ref="B1931:C1931"/>
    <mergeCell ref="B1771:H1771"/>
    <mergeCell ref="A2320:H2320"/>
    <mergeCell ref="A927:H927"/>
    <mergeCell ref="A1953:H1953"/>
    <mergeCell ref="A2591:H2591"/>
    <mergeCell ref="A1356:H1356"/>
    <mergeCell ref="B1766:H1766"/>
    <mergeCell ref="B70:C70"/>
    <mergeCell ref="B2195:H2195"/>
    <mergeCell ref="B1983:H1983"/>
    <mergeCell ref="A1679:H1679"/>
    <mergeCell ref="A1252:H1252"/>
    <mergeCell ref="A1681:H1681"/>
    <mergeCell ref="B439:H439"/>
    <mergeCell ref="A192:H192"/>
    <mergeCell ref="A499:H499"/>
    <mergeCell ref="B12:H12"/>
    <mergeCell ref="A2006:H2006"/>
    <mergeCell ref="A2310:H2310"/>
    <mergeCell ref="B441:H441"/>
    <mergeCell ref="A1253:H1253"/>
    <mergeCell ref="A194:H194"/>
    <mergeCell ref="B14:H14"/>
    <mergeCell ref="A2312:H2312"/>
    <mergeCell ref="A2306:H2306"/>
    <mergeCell ref="A2640:H2640"/>
    <mergeCell ref="A2007:H2007"/>
    <mergeCell ref="B1075:H1075"/>
    <mergeCell ref="B1398:H1398"/>
    <mergeCell ref="A1580:H1580"/>
    <mergeCell ref="B1400:H1400"/>
    <mergeCell ref="B1613:C1613"/>
    <mergeCell ref="A2366:H2366"/>
    <mergeCell ref="A1725:H1725"/>
    <mergeCell ref="A1306:H1306"/>
    <mergeCell ref="B1555:H1555"/>
    <mergeCell ref="A2367:H2367"/>
    <mergeCell ref="A1308:H1308"/>
    <mergeCell ref="A2361:H2361"/>
    <mergeCell ref="A238:H238"/>
    <mergeCell ref="A134:H134"/>
    <mergeCell ref="B2138:H2138"/>
    <mergeCell ref="A563:H563"/>
    <mergeCell ref="A721:H721"/>
    <mergeCell ref="A2051:H2051"/>
    <mergeCell ref="A1624:H1624"/>
    <mergeCell ref="A565:H565"/>
    <mergeCell ref="A1782:H1782"/>
    <mergeCell ref="A2053:H2053"/>
    <mergeCell ref="A1319:H1319"/>
    <mergeCell ref="A564:H564"/>
    <mergeCell ref="A1993:H1993"/>
    <mergeCell ref="B384:H384"/>
    <mergeCell ref="A1784:H1784"/>
    <mergeCell ref="A2380:H2380"/>
    <mergeCell ref="B231:C231"/>
    <mergeCell ref="B386:H386"/>
    <mergeCell ref="A1466:H1466"/>
    <mergeCell ref="A1677:H1677"/>
    <mergeCell ref="A188:H188"/>
    <mergeCell ref="A2431:H2431"/>
    <mergeCell ref="A734:H734"/>
    <mergeCell ref="A1032:H1032"/>
    <mergeCell ref="A945:H945"/>
    <mergeCell ref="A190:H190"/>
    <mergeCell ref="A1249:H1249"/>
    <mergeCell ref="A2433:H2433"/>
    <mergeCell ref="A1678:H1678"/>
    <mergeCell ref="A1034:H1034"/>
    <mergeCell ref="A1251:H1251"/>
    <mergeCell ref="B2248:H2248"/>
    <mergeCell ref="A2275:H2275"/>
    <mergeCell ref="A2573:H2573"/>
    <mergeCell ref="A664:H664"/>
    <mergeCell ref="A935:H935"/>
    <mergeCell ref="A1848:H1848"/>
    <mergeCell ref="A1093:H1093"/>
    <mergeCell ref="A2146:H2146"/>
    <mergeCell ref="A1087:H1087"/>
    <mergeCell ref="A630:H630"/>
    <mergeCell ref="A2575:H2575"/>
    <mergeCell ref="A666:H666"/>
    <mergeCell ref="A203:H203"/>
    <mergeCell ref="A1095:H1095"/>
    <mergeCell ref="A2148:H2148"/>
    <mergeCell ref="A361:H361"/>
    <mergeCell ref="A2365:H2365"/>
    <mergeCell ref="A661:H661"/>
    <mergeCell ref="A392:H392"/>
    <mergeCell ref="A1418:H1418"/>
    <mergeCell ref="A2477:H2477"/>
    <mergeCell ref="A350:H350"/>
    <mergeCell ref="A990:H990"/>
    <mergeCell ref="A982:H982"/>
    <mergeCell ref="A1742:H1742"/>
    <mergeCell ref="A343:H343"/>
    <mergeCell ref="A2043:H2043"/>
    <mergeCell ref="A992:H992"/>
    <mergeCell ref="A677:H677"/>
    <mergeCell ref="A560:H560"/>
    <mergeCell ref="A1315:H1315"/>
    <mergeCell ref="A345:H345"/>
    <mergeCell ref="A1780:H1780"/>
    <mergeCell ref="B2623:H2623"/>
    <mergeCell ref="A2376:H2376"/>
    <mergeCell ref="A1317:H1317"/>
    <mergeCell ref="A2647:H2647"/>
    <mergeCell ref="B919:H919"/>
    <mergeCell ref="A2378:H2378"/>
    <mergeCell ref="A1617:H1617"/>
    <mergeCell ref="A1462:H1462"/>
    <mergeCell ref="A405:H405"/>
    <mergeCell ref="A2219:H2219"/>
    <mergeCell ref="B2620:H2620"/>
    <mergeCell ref="A407:H407"/>
    <mergeCell ref="A730:H730"/>
    <mergeCell ref="A2218:H2218"/>
    <mergeCell ref="A1457:H1457"/>
    <mergeCell ref="A2106:H2106"/>
    <mergeCell ref="A1791:H1791"/>
    <mergeCell ref="A732:H732"/>
    <mergeCell ref="A2062:H2062"/>
    <mergeCell ref="A2429:H2429"/>
    <mergeCell ref="B336:C336"/>
    <mergeCell ref="A1030:H1030"/>
    <mergeCell ref="A2220:H2220"/>
    <mergeCell ref="A2518:H2518"/>
    <mergeCell ref="A1459:H1459"/>
    <mergeCell ref="B1875:H1875"/>
    <mergeCell ref="A2520:H2520"/>
    <mergeCell ref="B2033:H2033"/>
    <mergeCell ref="A733:H733"/>
    <mergeCell ref="B974:H974"/>
    <mergeCell ref="A1361:H1361"/>
    <mergeCell ref="A1519:H1519"/>
    <mergeCell ref="A301:H301"/>
    <mergeCell ref="A2422:H2422"/>
    <mergeCell ref="A1783:H1783"/>
    <mergeCell ref="A1844:H1844"/>
    <mergeCell ref="B548:H548"/>
    <mergeCell ref="A32:H32"/>
    <mergeCell ref="A303:H303"/>
    <mergeCell ref="A2571:H2571"/>
    <mergeCell ref="B1182:H1182"/>
    <mergeCell ref="A288:H288"/>
    <mergeCell ref="B869:H869"/>
    <mergeCell ref="B230:H230"/>
    <mergeCell ref="A2475:H2475"/>
    <mergeCell ref="A2589:H2589"/>
    <mergeCell ref="A1532:H1532"/>
    <mergeCell ref="A777:H777"/>
    <mergeCell ref="A2170:H2170"/>
    <mergeCell ref="A2468:H2468"/>
    <mergeCell ref="A988:H988"/>
    <mergeCell ref="A1417:H1417"/>
    <mergeCell ref="A1102:H1102"/>
    <mergeCell ref="A2470:H2470"/>
    <mergeCell ref="A683:H683"/>
    <mergeCell ref="A1744:H1744"/>
    <mergeCell ref="B917:H917"/>
    <mergeCell ref="B2247:H2247"/>
    <mergeCell ref="A401:H401"/>
    <mergeCell ref="B2405:H2405"/>
    <mergeCell ref="A2644:H2644"/>
    <mergeCell ref="A830:H830"/>
    <mergeCell ref="A403:H403"/>
    <mergeCell ref="A1733:H1733"/>
    <mergeCell ref="A2646:H2646"/>
    <mergeCell ref="A1891:H1891"/>
    <mergeCell ref="A832:H832"/>
    <mergeCell ref="A1885:H1885"/>
    <mergeCell ref="A396:H396"/>
    <mergeCell ref="A825:H825"/>
    <mergeCell ref="B493:H493"/>
    <mergeCell ref="A398:H398"/>
    <mergeCell ref="A1728:H1728"/>
    <mergeCell ref="A414:H414"/>
    <mergeCell ref="A109:H109"/>
    <mergeCell ref="A2325:H2325"/>
    <mergeCell ref="A240:H240"/>
    <mergeCell ref="A2113:H2113"/>
    <mergeCell ref="A416:H416"/>
    <mergeCell ref="A1352:H1352"/>
    <mergeCell ref="A1510:H1510"/>
    <mergeCell ref="A1143:H1143"/>
    <mergeCell ref="A2115:H2115"/>
    <mergeCell ref="A2413:H2413"/>
    <mergeCell ref="A1354:H1354"/>
    <mergeCell ref="B1717:H1717"/>
    <mergeCell ref="B2355:H2355"/>
    <mergeCell ref="A142:H142"/>
    <mergeCell ref="A2415:H2415"/>
    <mergeCell ref="A628:H628"/>
    <mergeCell ref="B2357:H2357"/>
    <mergeCell ref="B1930:H1930"/>
    <mergeCell ref="A1955:H1955"/>
    <mergeCell ref="A1528:H1528"/>
    <mergeCell ref="A469:H469"/>
    <mergeCell ref="A773:H773"/>
    <mergeCell ref="A767:H767"/>
    <mergeCell ref="B1561:C1561"/>
    <mergeCell ref="A2255:H2255"/>
    <mergeCell ref="A1530:H1530"/>
    <mergeCell ref="A775:H775"/>
    <mergeCell ref="A1828:H1828"/>
    <mergeCell ref="B1612:H1612"/>
    <mergeCell ref="A2257:H2257"/>
    <mergeCell ref="A1523:H1523"/>
    <mergeCell ref="A768:H768"/>
    <mergeCell ref="A1830:H1830"/>
    <mergeCell ref="A1952:H1952"/>
    <mergeCell ref="A1525:H1525"/>
    <mergeCell ref="A770:H770"/>
    <mergeCell ref="B1344:H1344"/>
    <mergeCell ref="A1207:H1207"/>
    <mergeCell ref="A2642:H2642"/>
    <mergeCell ref="B1346:H1346"/>
    <mergeCell ref="A25:H25"/>
    <mergeCell ref="A2268:H2268"/>
    <mergeCell ref="A183:H183"/>
    <mergeCell ref="A1671:H1671"/>
    <mergeCell ref="B2088:H2088"/>
    <mergeCell ref="A2485:H2485"/>
    <mergeCell ref="A2479:H2479"/>
    <mergeCell ref="A394:H394"/>
    <mergeCell ref="A667:H667"/>
    <mergeCell ref="A2637:H2637"/>
    <mergeCell ref="B601:H601"/>
    <mergeCell ref="A2182:H2182"/>
    <mergeCell ref="A514:H514"/>
    <mergeCell ref="B2300:H2300"/>
    <mergeCell ref="B603:H603"/>
    <mergeCell ref="A2626:H2626"/>
    <mergeCell ref="A1900:H1900"/>
    <mergeCell ref="A841:H841"/>
    <mergeCell ref="A1894:H1894"/>
    <mergeCell ref="A1139:H1139"/>
    <mergeCell ref="A82:H82"/>
    <mergeCell ref="A2323:H2323"/>
    <mergeCell ref="A2627:H2627"/>
    <mergeCell ref="A1902:H1902"/>
    <mergeCell ref="A2200:H2200"/>
    <mergeCell ref="A1141:H1141"/>
    <mergeCell ref="B654:H654"/>
    <mergeCell ref="A1439:H1439"/>
    <mergeCell ref="A1597:H1597"/>
    <mergeCell ref="B2142:H2142"/>
    <mergeCell ref="A1895:H1895"/>
    <mergeCell ref="A836:H836"/>
    <mergeCell ref="A567:H567"/>
    <mergeCell ref="B1715:H1715"/>
    <mergeCell ref="B2353:H2353"/>
    <mergeCell ref="A1897:H1897"/>
    <mergeCell ref="B655:H655"/>
    <mergeCell ref="B228:H228"/>
    <mergeCell ref="A562:H562"/>
    <mergeCell ref="B657:H657"/>
    <mergeCell ref="A141:H141"/>
    <mergeCell ref="A135:H135"/>
    <mergeCell ref="A1623:H1623"/>
    <mergeCell ref="A1196:H1196"/>
    <mergeCell ref="A1948:H1948"/>
    <mergeCell ref="B2460:H2460"/>
    <mergeCell ref="A2368:H2368"/>
    <mergeCell ref="A575:H575"/>
    <mergeCell ref="A2308:H2308"/>
    <mergeCell ref="A611:H611"/>
    <mergeCell ref="A2152:H2152"/>
    <mergeCell ref="A2608:H2608"/>
    <mergeCell ref="A665:H665"/>
    <mergeCell ref="B1026:H1026"/>
    <mergeCell ref="A510:H510"/>
    <mergeCell ref="A1992:H1992"/>
    <mergeCell ref="A295:H295"/>
    <mergeCell ref="B2087:H2087"/>
    <mergeCell ref="A1565:H1565"/>
    <mergeCell ref="A1994:H1994"/>
    <mergeCell ref="A505:H505"/>
    <mergeCell ref="A1567:H1567"/>
    <mergeCell ref="A1689:H1689"/>
    <mergeCell ref="A78:H78"/>
    <mergeCell ref="B2568:H2568"/>
    <mergeCell ref="A1262:H1262"/>
    <mergeCell ref="A507:H507"/>
    <mergeCell ref="A1566:H1566"/>
    <mergeCell ref="A2628:H2628"/>
    <mergeCell ref="A1995:H1995"/>
    <mergeCell ref="A1989:H1989"/>
    <mergeCell ref="A80:H80"/>
    <mergeCell ref="B2140:H2140"/>
    <mergeCell ref="B2252:C2252"/>
    <mergeCell ref="A1278:H1278"/>
    <mergeCell ref="A681:H681"/>
    <mergeCell ref="A1190:H1190"/>
    <mergeCell ref="A981:H981"/>
    <mergeCell ref="A518:H518"/>
    <mergeCell ref="A1410:H1410"/>
    <mergeCell ref="A2224:H2224"/>
    <mergeCell ref="A676:H676"/>
    <mergeCell ref="A1192:H1192"/>
    <mergeCell ref="A1702:H1702"/>
    <mergeCell ref="A983:H983"/>
    <mergeCell ref="A1621:H1621"/>
    <mergeCell ref="B496:H496"/>
    <mergeCell ref="A1579:H1579"/>
    <mergeCell ref="A520:H520"/>
    <mergeCell ref="A1492:H1492"/>
    <mergeCell ref="B2037:H2037"/>
    <mergeCell ref="A246:H246"/>
    <mergeCell ref="A1637:H1637"/>
    <mergeCell ref="B66:H66"/>
    <mergeCell ref="A607:H607"/>
    <mergeCell ref="A1937:H1937"/>
    <mergeCell ref="A150:H150"/>
    <mergeCell ref="A2095:H2095"/>
    <mergeCell ref="A1632:H1632"/>
    <mergeCell ref="A573:H573"/>
    <mergeCell ref="A877:H877"/>
    <mergeCell ref="A1939:H1939"/>
    <mergeCell ref="A907:H907"/>
    <mergeCell ref="B1452:H1452"/>
    <mergeCell ref="A1205:H1205"/>
    <mergeCell ref="A450:H450"/>
    <mergeCell ref="A1634:H1634"/>
    <mergeCell ref="B2513:H2513"/>
    <mergeCell ref="B1454:H1454"/>
    <mergeCell ref="A291:H291"/>
    <mergeCell ref="B2515:H2515"/>
    <mergeCell ref="A931:H931"/>
    <mergeCell ref="A1779:H1779"/>
    <mergeCell ref="A1360:H1360"/>
    <mergeCell ref="B2624:C2624"/>
    <mergeCell ref="A1474:H1474"/>
    <mergeCell ref="A933:H933"/>
    <mergeCell ref="A292:H292"/>
    <mergeCell ref="A286:H286"/>
    <mergeCell ref="A626:H626"/>
    <mergeCell ref="A1774:H1774"/>
    <mergeCell ref="A163:H163"/>
    <mergeCell ref="A294:H294"/>
    <mergeCell ref="A890:H890"/>
    <mergeCell ref="B2566:H2566"/>
    <mergeCell ref="A1266:H1266"/>
    <mergeCell ref="A2319:H2319"/>
    <mergeCell ref="B870:C870"/>
    <mergeCell ref="A1048:H1048"/>
    <mergeCell ref="B710:H710"/>
    <mergeCell ref="B2409:H2409"/>
    <mergeCell ref="A20:H20"/>
    <mergeCell ref="A348:H348"/>
    <mergeCell ref="A320:H320"/>
    <mergeCell ref="A1373:H1373"/>
    <mergeCell ref="A618:H618"/>
    <mergeCell ref="B125:C125"/>
    <mergeCell ref="A2047:H2047"/>
    <mergeCell ref="A977:H977"/>
    <mergeCell ref="B438:H438"/>
    <mergeCell ref="A191:H191"/>
    <mergeCell ref="A2161:H2161"/>
    <mergeCell ref="A620:H620"/>
    <mergeCell ref="A1734:H1734"/>
    <mergeCell ref="A979:H979"/>
    <mergeCell ref="A1575:H1575"/>
    <mergeCell ref="A1408:H1408"/>
    <mergeCell ref="A2004:H2004"/>
    <mergeCell ref="A1577:H1577"/>
    <mergeCell ref="B1818:H1818"/>
    <mergeCell ref="A1735:H1735"/>
    <mergeCell ref="A242:H242"/>
    <mergeCell ref="A33:H33"/>
    <mergeCell ref="B1819:H1819"/>
    <mergeCell ref="A1303:H1303"/>
    <mergeCell ref="A244:H244"/>
    <mergeCell ref="A2487:H2487"/>
    <mergeCell ref="A1732:H1732"/>
    <mergeCell ref="A35:H35"/>
    <mergeCell ref="A2060:H2060"/>
    <mergeCell ref="B178:H178"/>
    <mergeCell ref="A1305:H1305"/>
    <mergeCell ref="A2364:H2364"/>
    <mergeCell ref="A2059:H2059"/>
    <mergeCell ref="A2330:H2330"/>
    <mergeCell ref="A245:H245"/>
    <mergeCell ref="B65:H65"/>
    <mergeCell ref="B1872:H1872"/>
    <mergeCell ref="A718:H718"/>
    <mergeCell ref="A255:H255"/>
    <mergeCell ref="A1147:H1147"/>
    <mergeCell ref="A413:H413"/>
    <mergeCell ref="A1475:H1475"/>
    <mergeCell ref="A1358:H1358"/>
    <mergeCell ref="A720:H720"/>
    <mergeCell ref="A1316:H1316"/>
    <mergeCell ref="A2202:H2202"/>
    <mergeCell ref="A415:H415"/>
    <mergeCell ref="A713:H713"/>
    <mergeCell ref="A2419:H2419"/>
    <mergeCell ref="A2104:H2104"/>
    <mergeCell ref="A2533:H2533"/>
    <mergeCell ref="A2114:H2114"/>
    <mergeCell ref="A715:H715"/>
    <mergeCell ref="A932:H9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出牌记录总表</t>
        </is>
      </c>
    </row>
    <row r="3">
      <c r="A3" s="3" t="inlineStr">
        <is>
          <t>局数</t>
        </is>
      </c>
      <c r="B3" s="3" t="inlineStr">
        <is>
          <t>圈数</t>
        </is>
      </c>
      <c r="C3" s="3" t="inlineStr">
        <is>
          <t>牌型</t>
        </is>
      </c>
      <c r="D3" s="3" t="inlineStr">
        <is>
          <t>首出</t>
        </is>
      </c>
      <c r="E3" s="3" t="inlineStr">
        <is>
          <t>玩1</t>
        </is>
      </c>
      <c r="F3" s="3" t="inlineStr">
        <is>
          <t>玩2</t>
        </is>
      </c>
      <c r="G3" s="3" t="inlineStr">
        <is>
          <t>玩3</t>
        </is>
      </c>
      <c r="H3" s="3" t="inlineStr">
        <is>
          <t>玩4</t>
        </is>
      </c>
      <c r="I3" s="3" t="inlineStr">
        <is>
          <t>赢家</t>
        </is>
      </c>
      <c r="J3" s="3" t="inlineStr">
        <is>
          <t>得分</t>
        </is>
      </c>
      <c r="K3" s="3" t="inlineStr">
        <is>
          <t>赢家阵营</t>
        </is>
      </c>
    </row>
    <row r="4">
      <c r="A4" s="4" t="n">
        <v>1</v>
      </c>
      <c r="B4" s="4" t="n">
        <v>1</v>
      </c>
      <c r="C4" s="4" t="inlineStr">
        <is>
          <t>单张</t>
        </is>
      </c>
      <c r="D4" s="4" t="inlineStr">
        <is>
          <t>玩1</t>
        </is>
      </c>
      <c r="E4" s="4" t="inlineStr">
        <is>
          <t>♥7</t>
        </is>
      </c>
      <c r="F4" s="4" t="inlineStr">
        <is>
          <t>♥9</t>
        </is>
      </c>
      <c r="G4" s="4" t="inlineStr">
        <is>
          <t>♥4</t>
        </is>
      </c>
      <c r="H4" s="4" t="inlineStr">
        <is>
          <t>♥2</t>
        </is>
      </c>
      <c r="I4" s="4" t="inlineStr">
        <is>
          <t>玩4</t>
        </is>
      </c>
      <c r="J4" s="4" t="n">
        <v>0</v>
      </c>
      <c r="K4" s="4" t="inlineStr">
        <is>
          <t>抓分方</t>
        </is>
      </c>
    </row>
    <row r="5">
      <c r="A5" s="4" t="n">
        <v>1</v>
      </c>
      <c r="B5" s="4" t="n">
        <v>2</v>
      </c>
      <c r="C5" s="4" t="inlineStr">
        <is>
          <t>对子</t>
        </is>
      </c>
      <c r="D5" s="4" t="inlineStr">
        <is>
          <t>玩4</t>
        </is>
      </c>
      <c r="E5" s="4" t="inlineStr">
        <is>
          <t>♣2 ♣K</t>
        </is>
      </c>
      <c r="F5" s="4" t="inlineStr">
        <is>
          <t>♣3 ♣5</t>
        </is>
      </c>
      <c r="G5" s="4" t="inlineStr">
        <is>
          <t>♣4 ♣6</t>
        </is>
      </c>
      <c r="H5" s="4" t="inlineStr">
        <is>
          <t>♣Q ♦Q</t>
        </is>
      </c>
      <c r="I5" s="4" t="inlineStr">
        <is>
          <t>玩1</t>
        </is>
      </c>
      <c r="J5" s="4" t="n">
        <v>15</v>
      </c>
      <c r="K5" s="4" t="inlineStr">
        <is>
          <t>庄家方</t>
        </is>
      </c>
    </row>
    <row r="6">
      <c r="A6" s="4" t="n">
        <v>1</v>
      </c>
      <c r="B6" s="4" t="n">
        <v>3</v>
      </c>
      <c r="C6" s="4" t="inlineStr">
        <is>
          <t>单张</t>
        </is>
      </c>
      <c r="D6" s="4" t="inlineStr">
        <is>
          <t>玩1</t>
        </is>
      </c>
      <c r="E6" s="4" t="inlineStr">
        <is>
          <t>♠Q</t>
        </is>
      </c>
      <c r="F6" s="4" t="inlineStr">
        <is>
          <t>♠2</t>
        </is>
      </c>
      <c r="G6" s="4" t="inlineStr">
        <is>
          <t>♠3</t>
        </is>
      </c>
      <c r="H6" s="4" t="inlineStr">
        <is>
          <t>♠6</t>
        </is>
      </c>
      <c r="I6" s="4" t="inlineStr">
        <is>
          <t>玩2</t>
        </is>
      </c>
      <c r="J6" s="4" t="n">
        <v>0</v>
      </c>
      <c r="K6" s="4" t="inlineStr">
        <is>
          <t>抓分方</t>
        </is>
      </c>
    </row>
    <row r="7">
      <c r="A7" s="4" t="n">
        <v>1</v>
      </c>
      <c r="B7" s="4" t="n">
        <v>4</v>
      </c>
      <c r="C7" s="4" t="inlineStr">
        <is>
          <t>对子</t>
        </is>
      </c>
      <c r="D7" s="4" t="inlineStr">
        <is>
          <t>玩2</t>
        </is>
      </c>
      <c r="E7" s="4" t="inlineStr">
        <is>
          <t>♦5 ♦K</t>
        </is>
      </c>
      <c r="F7" s="4" t="inlineStr">
        <is>
          <t>♦A ♥A</t>
        </is>
      </c>
      <c r="G7" s="4" t="inlineStr">
        <is>
          <t>♦7 ♦9</t>
        </is>
      </c>
      <c r="H7" s="4" t="inlineStr">
        <is>
          <t>♦6 ♦8</t>
        </is>
      </c>
      <c r="I7" s="4" t="inlineStr">
        <is>
          <t>玩2</t>
        </is>
      </c>
      <c r="J7" s="4" t="n">
        <v>15</v>
      </c>
      <c r="K7" s="4" t="inlineStr">
        <is>
          <t>抓分方</t>
        </is>
      </c>
    </row>
    <row r="8">
      <c r="A8" s="4" t="n">
        <v>1</v>
      </c>
      <c r="B8" s="4" t="n">
        <v>5</v>
      </c>
      <c r="C8" s="4" t="inlineStr">
        <is>
          <t>单张</t>
        </is>
      </c>
      <c r="D8" s="4" t="inlineStr">
        <is>
          <t>玩2</t>
        </is>
      </c>
      <c r="E8" s="4" t="inlineStr">
        <is>
          <t>♥3</t>
        </is>
      </c>
      <c r="F8" s="4" t="inlineStr">
        <is>
          <t>♦4</t>
        </is>
      </c>
      <c r="G8" s="4" t="inlineStr">
        <is>
          <t>♠4</t>
        </is>
      </c>
      <c r="H8" s="4" t="inlineStr">
        <is>
          <t>♦10</t>
        </is>
      </c>
      <c r="I8" s="4" t="inlineStr">
        <is>
          <t>玩1</t>
        </is>
      </c>
      <c r="J8" s="4" t="n">
        <v>10</v>
      </c>
      <c r="K8" s="4" t="inlineStr">
        <is>
          <t>庄家方</t>
        </is>
      </c>
    </row>
    <row r="9">
      <c r="A9" s="4" t="n">
        <v>1</v>
      </c>
      <c r="B9" s="4" t="n">
        <v>6</v>
      </c>
      <c r="C9" s="4" t="inlineStr">
        <is>
          <t>单张</t>
        </is>
      </c>
      <c r="D9" s="4" t="inlineStr">
        <is>
          <t>玩1</t>
        </is>
      </c>
      <c r="E9" s="4" t="inlineStr">
        <is>
          <t>♣A</t>
        </is>
      </c>
      <c r="F9" s="4" t="inlineStr">
        <is>
          <t>♣7</t>
        </is>
      </c>
      <c r="G9" s="4" t="inlineStr">
        <is>
          <t>♣8</t>
        </is>
      </c>
      <c r="H9" s="4" t="inlineStr">
        <is>
          <t>♣J</t>
        </is>
      </c>
      <c r="I9" s="4" t="inlineStr">
        <is>
          <t>玩1</t>
        </is>
      </c>
      <c r="J9" s="4" t="n">
        <v>0</v>
      </c>
      <c r="K9" s="4" t="inlineStr">
        <is>
          <t>庄家方</t>
        </is>
      </c>
    </row>
    <row r="10">
      <c r="A10" s="4" t="n">
        <v>1</v>
      </c>
      <c r="B10" s="4" t="n">
        <v>7</v>
      </c>
      <c r="C10" s="4" t="inlineStr">
        <is>
          <t>单张</t>
        </is>
      </c>
      <c r="D10" s="4" t="inlineStr">
        <is>
          <t>玩1</t>
        </is>
      </c>
      <c r="E10" s="4" t="inlineStr">
        <is>
          <t>大王</t>
        </is>
      </c>
      <c r="F10" s="4" t="inlineStr">
        <is>
          <t>♠8</t>
        </is>
      </c>
      <c r="G10" s="4" t="inlineStr">
        <is>
          <t>♠7</t>
        </is>
      </c>
      <c r="H10" s="4" t="inlineStr">
        <is>
          <t>小王</t>
        </is>
      </c>
      <c r="I10" s="4" t="inlineStr">
        <is>
          <t>玩1</t>
        </is>
      </c>
      <c r="J10" s="4" t="n">
        <v>0</v>
      </c>
      <c r="K10" s="4" t="inlineStr">
        <is>
          <t>庄家方</t>
        </is>
      </c>
    </row>
    <row r="11">
      <c r="A11" s="4" t="n">
        <v>1</v>
      </c>
      <c r="B11" s="4" t="n">
        <v>8</v>
      </c>
      <c r="C11" s="4" t="inlineStr">
        <is>
          <t>单张</t>
        </is>
      </c>
      <c r="D11" s="4" t="inlineStr">
        <is>
          <t>玩1</t>
        </is>
      </c>
      <c r="E11" s="4" t="inlineStr">
        <is>
          <t>♠5</t>
        </is>
      </c>
      <c r="F11" s="4" t="inlineStr">
        <is>
          <t>♦2</t>
        </is>
      </c>
      <c r="G11" s="4" t="inlineStr">
        <is>
          <t>♠J</t>
        </is>
      </c>
      <c r="H11" s="4" t="inlineStr">
        <is>
          <t>♠A</t>
        </is>
      </c>
      <c r="I11" s="4" t="inlineStr">
        <is>
          <t>玩2</t>
        </is>
      </c>
      <c r="J11" s="4" t="n">
        <v>5</v>
      </c>
      <c r="K11" s="4" t="inlineStr">
        <is>
          <t>抓分方</t>
        </is>
      </c>
    </row>
    <row r="12">
      <c r="A12" s="4" t="n">
        <v>1</v>
      </c>
      <c r="B12" s="4" t="n">
        <v>9</v>
      </c>
      <c r="C12" s="4" t="inlineStr">
        <is>
          <t>单张</t>
        </is>
      </c>
      <c r="D12" s="4" t="inlineStr">
        <is>
          <t>玩2</t>
        </is>
      </c>
      <c r="E12" s="4" t="inlineStr">
        <is>
          <t>♠10</t>
        </is>
      </c>
      <c r="F12" s="4" t="inlineStr">
        <is>
          <t>♣9</t>
        </is>
      </c>
      <c r="G12" s="4" t="inlineStr">
        <is>
          <t>♣10</t>
        </is>
      </c>
      <c r="H12" s="4" t="inlineStr">
        <is>
          <t>♥6</t>
        </is>
      </c>
      <c r="I12" s="4" t="inlineStr">
        <is>
          <t>玩3</t>
        </is>
      </c>
      <c r="J12" s="4" t="n">
        <v>20</v>
      </c>
      <c r="K12" s="4" t="inlineStr">
        <is>
          <t>庄家方</t>
        </is>
      </c>
    </row>
    <row r="13">
      <c r="A13" s="4" t="n">
        <v>1</v>
      </c>
      <c r="B13" s="4" t="n">
        <v>10</v>
      </c>
      <c r="C13" s="4" t="inlineStr">
        <is>
          <t>单张</t>
        </is>
      </c>
      <c r="D13" s="4" t="inlineStr">
        <is>
          <t>玩3</t>
        </is>
      </c>
      <c r="E13" s="4" t="inlineStr">
        <is>
          <t>♠K</t>
        </is>
      </c>
      <c r="F13" s="4" t="inlineStr">
        <is>
          <t>♦J</t>
        </is>
      </c>
      <c r="G13" s="4" t="inlineStr">
        <is>
          <t>♥K</t>
        </is>
      </c>
      <c r="H13" s="4" t="inlineStr">
        <is>
          <t>♥10</t>
        </is>
      </c>
      <c r="I13" s="4" t="inlineStr">
        <is>
          <t>玩3</t>
        </is>
      </c>
      <c r="J13" s="4" t="n">
        <v>30</v>
      </c>
      <c r="K13" s="4" t="inlineStr">
        <is>
          <t>庄家方</t>
        </is>
      </c>
    </row>
    <row r="14">
      <c r="A14" s="4" t="n">
        <v>2</v>
      </c>
      <c r="B14" s="4" t="n">
        <v>1</v>
      </c>
      <c r="C14" s="4" t="inlineStr">
        <is>
          <t>对子</t>
        </is>
      </c>
      <c r="D14" s="4" t="inlineStr">
        <is>
          <t>玩2</t>
        </is>
      </c>
      <c r="E14" s="4" t="inlineStr">
        <is>
          <t>♦4 ♦8</t>
        </is>
      </c>
      <c r="F14" s="4" t="inlineStr">
        <is>
          <t>♦Q ♣Q</t>
        </is>
      </c>
      <c r="G14" s="4" t="inlineStr">
        <is>
          <t>♦2 ♦7</t>
        </is>
      </c>
      <c r="H14" s="4" t="inlineStr">
        <is>
          <t>♦3 ♦5</t>
        </is>
      </c>
      <c r="I14" s="4" t="inlineStr">
        <is>
          <t>玩3</t>
        </is>
      </c>
      <c r="J14" s="4" t="n">
        <v>5</v>
      </c>
      <c r="K14" s="4" t="inlineStr">
        <is>
          <t>抓分方</t>
        </is>
      </c>
    </row>
    <row r="15">
      <c r="A15" s="4" t="n">
        <v>2</v>
      </c>
      <c r="B15" s="4" t="n">
        <v>2</v>
      </c>
      <c r="C15" s="4" t="inlineStr">
        <is>
          <t>单张</t>
        </is>
      </c>
      <c r="D15" s="4" t="inlineStr">
        <is>
          <t>玩3</t>
        </is>
      </c>
      <c r="E15" s="4" t="inlineStr">
        <is>
          <t>♠8</t>
        </is>
      </c>
      <c r="F15" s="4" t="inlineStr">
        <is>
          <t>♠9</t>
        </is>
      </c>
      <c r="G15" s="4" t="inlineStr">
        <is>
          <t>♠3</t>
        </is>
      </c>
      <c r="H15" s="4" t="inlineStr">
        <is>
          <t>♠2</t>
        </is>
      </c>
      <c r="I15" s="4" t="inlineStr">
        <is>
          <t>玩4</t>
        </is>
      </c>
      <c r="J15" s="4" t="n">
        <v>0</v>
      </c>
      <c r="K15" s="4" t="inlineStr">
        <is>
          <t>庄家方</t>
        </is>
      </c>
    </row>
    <row r="16">
      <c r="A16" s="4" t="n">
        <v>2</v>
      </c>
      <c r="B16" s="4" t="n">
        <v>3</v>
      </c>
      <c r="C16" s="4" t="inlineStr">
        <is>
          <t>单张</t>
        </is>
      </c>
      <c r="D16" s="4" t="inlineStr">
        <is>
          <t>玩4</t>
        </is>
      </c>
      <c r="E16" s="4" t="inlineStr">
        <is>
          <t>♠Q</t>
        </is>
      </c>
      <c r="F16" s="4" t="inlineStr">
        <is>
          <t>♠A</t>
        </is>
      </c>
      <c r="G16" s="4" t="inlineStr">
        <is>
          <t>♠K</t>
        </is>
      </c>
      <c r="H16" s="4" t="inlineStr">
        <is>
          <t>♠7</t>
        </is>
      </c>
      <c r="I16" s="4" t="inlineStr">
        <is>
          <t>玩2</t>
        </is>
      </c>
      <c r="J16" s="4" t="n">
        <v>10</v>
      </c>
      <c r="K16" s="4" t="inlineStr">
        <is>
          <t>庄家方</t>
        </is>
      </c>
    </row>
    <row r="17">
      <c r="A17" s="4" t="n">
        <v>2</v>
      </c>
      <c r="B17" s="4" t="n">
        <v>4</v>
      </c>
      <c r="C17" s="4" t="inlineStr">
        <is>
          <t>单张</t>
        </is>
      </c>
      <c r="D17" s="4" t="inlineStr">
        <is>
          <t>玩2</t>
        </is>
      </c>
      <c r="E17" s="4" t="inlineStr">
        <is>
          <t>♣J</t>
        </is>
      </c>
      <c r="F17" s="4" t="inlineStr">
        <is>
          <t>♣7</t>
        </is>
      </c>
      <c r="G17" s="4" t="inlineStr">
        <is>
          <t>♣8</t>
        </is>
      </c>
      <c r="H17" s="4" t="inlineStr">
        <is>
          <t>♣2</t>
        </is>
      </c>
      <c r="I17" s="4" t="inlineStr">
        <is>
          <t>玩4</t>
        </is>
      </c>
      <c r="J17" s="4" t="n">
        <v>0</v>
      </c>
      <c r="K17" s="4" t="inlineStr">
        <is>
          <t>庄家方</t>
        </is>
      </c>
    </row>
    <row r="18">
      <c r="A18" s="4" t="n">
        <v>2</v>
      </c>
      <c r="B18" s="4" t="n">
        <v>5</v>
      </c>
      <c r="C18" s="4" t="inlineStr">
        <is>
          <t>单张</t>
        </is>
      </c>
      <c r="D18" s="4" t="inlineStr">
        <is>
          <t>玩4</t>
        </is>
      </c>
      <c r="E18" s="4" t="inlineStr">
        <is>
          <t>♥3</t>
        </is>
      </c>
      <c r="F18" s="4" t="inlineStr">
        <is>
          <t>♥2</t>
        </is>
      </c>
      <c r="G18" s="4" t="inlineStr">
        <is>
          <t>♥4</t>
        </is>
      </c>
      <c r="H18" s="4" t="inlineStr">
        <is>
          <t>♥8</t>
        </is>
      </c>
      <c r="I18" s="4" t="inlineStr">
        <is>
          <t>玩1</t>
        </is>
      </c>
      <c r="J18" s="4" t="n">
        <v>0</v>
      </c>
      <c r="K18" s="4" t="inlineStr">
        <is>
          <t>抓分方</t>
        </is>
      </c>
    </row>
    <row r="19">
      <c r="A19" s="4" t="n">
        <v>2</v>
      </c>
      <c r="B19" s="4" t="n">
        <v>6</v>
      </c>
      <c r="C19" s="4" t="inlineStr">
        <is>
          <t>对子</t>
        </is>
      </c>
      <c r="D19" s="4" t="inlineStr">
        <is>
          <t>玩1</t>
        </is>
      </c>
      <c r="E19" s="4" t="inlineStr">
        <is>
          <t>♣A ♥A</t>
        </is>
      </c>
      <c r="F19" s="4" t="inlineStr">
        <is>
          <t>♠5 ♥9</t>
        </is>
      </c>
      <c r="G19" s="4" t="inlineStr">
        <is>
          <t>大王</t>
        </is>
      </c>
      <c r="H19" s="4" t="inlineStr">
        <is>
          <t>♣5 ♣10</t>
        </is>
      </c>
      <c r="I19" s="4" t="inlineStr">
        <is>
          <t>玩3</t>
        </is>
      </c>
      <c r="J19" s="4" t="n">
        <v>20</v>
      </c>
      <c r="K19" s="4" t="inlineStr">
        <is>
          <t>抓分方</t>
        </is>
      </c>
    </row>
    <row r="20">
      <c r="A20" s="4" t="n">
        <v>2</v>
      </c>
      <c r="B20" s="4" t="n">
        <v>7</v>
      </c>
      <c r="C20" s="4" t="inlineStr">
        <is>
          <t>单张</t>
        </is>
      </c>
      <c r="D20" s="4" t="inlineStr">
        <is>
          <t>玩3</t>
        </is>
      </c>
      <c r="E20" s="4" t="inlineStr">
        <is>
          <t>♥7</t>
        </is>
      </c>
      <c r="F20" s="4" t="inlineStr">
        <is>
          <t>♥J</t>
        </is>
      </c>
      <c r="G20" s="4" t="inlineStr">
        <is>
          <t>♥6</t>
        </is>
      </c>
      <c r="H20" s="4" t="inlineStr">
        <is>
          <t>♥10</t>
        </is>
      </c>
      <c r="I20" s="4" t="inlineStr">
        <is>
          <t>玩2</t>
        </is>
      </c>
      <c r="J20" s="4" t="n">
        <v>10</v>
      </c>
      <c r="K20" s="4" t="inlineStr">
        <is>
          <t>庄家方</t>
        </is>
      </c>
    </row>
    <row r="21">
      <c r="A21" s="4" t="n">
        <v>2</v>
      </c>
      <c r="B21" s="4" t="n">
        <v>8</v>
      </c>
      <c r="C21" s="4" t="inlineStr">
        <is>
          <t>单张</t>
        </is>
      </c>
      <c r="D21" s="4" t="inlineStr">
        <is>
          <t>玩2</t>
        </is>
      </c>
      <c r="E21" s="4" t="inlineStr">
        <is>
          <t>♦10</t>
        </is>
      </c>
      <c r="F21" s="4" t="inlineStr">
        <is>
          <t>♦A</t>
        </is>
      </c>
      <c r="G21" s="4" t="inlineStr">
        <is>
          <t>♦J</t>
        </is>
      </c>
      <c r="H21" s="4" t="inlineStr">
        <is>
          <t>♦9</t>
        </is>
      </c>
      <c r="I21" s="4" t="inlineStr">
        <is>
          <t>玩2</t>
        </is>
      </c>
      <c r="J21" s="4" t="n">
        <v>10</v>
      </c>
      <c r="K21" s="4" t="inlineStr">
        <is>
          <t>庄家方</t>
        </is>
      </c>
    </row>
    <row r="22">
      <c r="A22" s="4" t="n">
        <v>2</v>
      </c>
      <c r="B22" s="4" t="n">
        <v>9</v>
      </c>
      <c r="C22" s="4" t="inlineStr">
        <is>
          <t>单张</t>
        </is>
      </c>
      <c r="D22" s="4" t="inlineStr">
        <is>
          <t>玩2</t>
        </is>
      </c>
      <c r="E22" s="4" t="inlineStr">
        <is>
          <t>小王</t>
        </is>
      </c>
      <c r="F22" s="4" t="inlineStr">
        <is>
          <t>♣K</t>
        </is>
      </c>
      <c r="G22" s="4" t="inlineStr">
        <is>
          <t>♣9</t>
        </is>
      </c>
      <c r="H22" s="4" t="inlineStr">
        <is>
          <t>♠J</t>
        </is>
      </c>
      <c r="I22" s="4" t="inlineStr">
        <is>
          <t>玩1</t>
        </is>
      </c>
      <c r="J22" s="4" t="n">
        <v>10</v>
      </c>
      <c r="K22" s="4" t="inlineStr">
        <is>
          <t>抓分方</t>
        </is>
      </c>
    </row>
    <row r="23">
      <c r="A23" s="4" t="n">
        <v>2</v>
      </c>
      <c r="B23" s="4" t="n">
        <v>10</v>
      </c>
      <c r="C23" s="4" t="inlineStr">
        <is>
          <t>单张</t>
        </is>
      </c>
      <c r="D23" s="4" t="inlineStr">
        <is>
          <t>玩1</t>
        </is>
      </c>
      <c r="E23" s="4" t="inlineStr">
        <is>
          <t>♠10</t>
        </is>
      </c>
      <c r="F23" s="4" t="inlineStr">
        <is>
          <t>♦K</t>
        </is>
      </c>
      <c r="G23" s="4" t="inlineStr">
        <is>
          <t>♥5</t>
        </is>
      </c>
      <c r="H23" s="4" t="inlineStr">
        <is>
          <t>♥K</t>
        </is>
      </c>
      <c r="I23" s="4" t="inlineStr">
        <is>
          <t>玩1</t>
        </is>
      </c>
      <c r="J23" s="4" t="n">
        <v>35</v>
      </c>
      <c r="K23" s="4" t="inlineStr">
        <is>
          <t>抓分方</t>
        </is>
      </c>
    </row>
    <row r="24">
      <c r="A24" s="4" t="n">
        <v>2</v>
      </c>
      <c r="B24" s="4" t="n">
        <v>11</v>
      </c>
      <c r="C24" s="4" t="inlineStr">
        <is>
          <t>单张</t>
        </is>
      </c>
      <c r="D24" s="4" t="inlineStr">
        <is>
          <t>玩1</t>
        </is>
      </c>
      <c r="E24" s="4" t="inlineStr">
        <is>
          <t>无</t>
        </is>
      </c>
      <c r="F24" s="4" t="inlineStr">
        <is>
          <t>无</t>
        </is>
      </c>
      <c r="G24" s="4" t="inlineStr">
        <is>
          <t>♥Q</t>
        </is>
      </c>
      <c r="H24" s="4" t="inlineStr">
        <is>
          <t>无</t>
        </is>
      </c>
      <c r="I24" s="4" t="inlineStr">
        <is>
          <t>玩3</t>
        </is>
      </c>
      <c r="J24" s="4" t="n">
        <v>0</v>
      </c>
      <c r="K24" s="4" t="inlineStr">
        <is>
          <t>抓分方</t>
        </is>
      </c>
    </row>
    <row r="25">
      <c r="A25" s="4" t="n">
        <v>3</v>
      </c>
      <c r="B25" s="4" t="n">
        <v>1</v>
      </c>
      <c r="C25" s="4" t="inlineStr">
        <is>
          <t>对子</t>
        </is>
      </c>
      <c r="D25" s="4" t="inlineStr">
        <is>
          <t>玩3</t>
        </is>
      </c>
      <c r="E25" s="4" t="inlineStr">
        <is>
          <t>♣3 ♣7</t>
        </is>
      </c>
      <c r="F25" s="4" t="inlineStr">
        <is>
          <t>♣4 ♣8</t>
        </is>
      </c>
      <c r="G25" s="4" t="inlineStr">
        <is>
          <t>♣2 ♥2</t>
        </is>
      </c>
      <c r="H25" s="4" t="inlineStr">
        <is>
          <t>♣6 ♣10</t>
        </is>
      </c>
      <c r="I25" s="4" t="inlineStr">
        <is>
          <t>玩3</t>
        </is>
      </c>
      <c r="J25" s="4" t="n">
        <v>10</v>
      </c>
      <c r="K25" s="4" t="inlineStr">
        <is>
          <t>庄家方</t>
        </is>
      </c>
    </row>
    <row r="26">
      <c r="A26" s="4" t="n">
        <v>3</v>
      </c>
      <c r="B26" s="4" t="n">
        <v>2</v>
      </c>
      <c r="C26" s="4" t="inlineStr">
        <is>
          <t>单张</t>
        </is>
      </c>
      <c r="D26" s="4" t="inlineStr">
        <is>
          <t>玩3</t>
        </is>
      </c>
      <c r="E26" s="4" t="inlineStr">
        <is>
          <t>♥8</t>
        </is>
      </c>
      <c r="F26" s="4" t="inlineStr">
        <is>
          <t>♥7</t>
        </is>
      </c>
      <c r="G26" s="4" t="inlineStr">
        <is>
          <t>♥9</t>
        </is>
      </c>
      <c r="H26" s="4" t="inlineStr">
        <is>
          <t>♥4</t>
        </is>
      </c>
      <c r="I26" s="4" t="inlineStr">
        <is>
          <t>玩3</t>
        </is>
      </c>
      <c r="J26" s="4" t="n">
        <v>0</v>
      </c>
      <c r="K26" s="4" t="inlineStr">
        <is>
          <t>庄家方</t>
        </is>
      </c>
    </row>
    <row r="27">
      <c r="A27" s="4" t="n">
        <v>3</v>
      </c>
      <c r="B27" s="4" t="n">
        <v>3</v>
      </c>
      <c r="C27" s="4" t="inlineStr">
        <is>
          <t>单张</t>
        </is>
      </c>
      <c r="D27" s="4" t="inlineStr">
        <is>
          <t>玩3</t>
        </is>
      </c>
      <c r="E27" s="4" t="inlineStr">
        <is>
          <t>♠3</t>
        </is>
      </c>
      <c r="F27" s="4" t="inlineStr">
        <is>
          <t>♣A</t>
        </is>
      </c>
      <c r="G27" s="4" t="inlineStr">
        <is>
          <t>♣Q</t>
        </is>
      </c>
      <c r="H27" s="4" t="inlineStr">
        <is>
          <t>♠4</t>
        </is>
      </c>
      <c r="I27" s="4" t="inlineStr">
        <is>
          <t>玩2</t>
        </is>
      </c>
      <c r="J27" s="4" t="n">
        <v>0</v>
      </c>
      <c r="K27" s="4" t="inlineStr">
        <is>
          <t>抓分方</t>
        </is>
      </c>
    </row>
    <row r="28">
      <c r="A28" s="4" t="n">
        <v>3</v>
      </c>
      <c r="B28" s="4" t="n">
        <v>4</v>
      </c>
      <c r="C28" s="4" t="inlineStr">
        <is>
          <t>对子</t>
        </is>
      </c>
      <c r="D28" s="4" t="inlineStr">
        <is>
          <t>玩2</t>
        </is>
      </c>
      <c r="E28" s="4" t="inlineStr">
        <is>
          <t>♦2 ♦3</t>
        </is>
      </c>
      <c r="F28" s="4" t="inlineStr">
        <is>
          <t>♦A ♥A</t>
        </is>
      </c>
      <c r="G28" s="4" t="inlineStr">
        <is>
          <t>♣5 ♦10</t>
        </is>
      </c>
      <c r="H28" s="4" t="inlineStr">
        <is>
          <t>♦7 ♦J</t>
        </is>
      </c>
      <c r="I28" s="4" t="inlineStr">
        <is>
          <t>玩1</t>
        </is>
      </c>
      <c r="J28" s="4" t="n">
        <v>15</v>
      </c>
      <c r="K28" s="4" t="inlineStr">
        <is>
          <t>庄家方</t>
        </is>
      </c>
    </row>
    <row r="29">
      <c r="A29" s="4" t="n">
        <v>3</v>
      </c>
      <c r="B29" s="4" t="n">
        <v>5</v>
      </c>
      <c r="C29" s="4" t="inlineStr">
        <is>
          <t>单张</t>
        </is>
      </c>
      <c r="D29" s="4" t="inlineStr">
        <is>
          <t>玩1</t>
        </is>
      </c>
      <c r="E29" s="4" t="inlineStr">
        <is>
          <t>♠9</t>
        </is>
      </c>
      <c r="F29" s="4" t="inlineStr">
        <is>
          <t>♠J</t>
        </is>
      </c>
      <c r="G29" s="4" t="inlineStr">
        <is>
          <t>♠2</t>
        </is>
      </c>
      <c r="H29" s="4" t="inlineStr">
        <is>
          <t>♠6</t>
        </is>
      </c>
      <c r="I29" s="4" t="inlineStr">
        <is>
          <t>玩3</t>
        </is>
      </c>
      <c r="J29" s="4" t="n">
        <v>0</v>
      </c>
      <c r="K29" s="4" t="inlineStr">
        <is>
          <t>庄家方</t>
        </is>
      </c>
    </row>
    <row r="30">
      <c r="A30" s="4" t="n">
        <v>3</v>
      </c>
      <c r="B30" s="4" t="n">
        <v>6</v>
      </c>
      <c r="C30" s="4" t="inlineStr">
        <is>
          <t>单张</t>
        </is>
      </c>
      <c r="D30" s="4" t="inlineStr">
        <is>
          <t>玩3</t>
        </is>
      </c>
      <c r="E30" s="4" t="inlineStr">
        <is>
          <t>大王</t>
        </is>
      </c>
      <c r="F30" s="4" t="inlineStr">
        <is>
          <t>♥5</t>
        </is>
      </c>
      <c r="G30" s="4" t="inlineStr">
        <is>
          <t>小王</t>
        </is>
      </c>
      <c r="H30" s="4" t="inlineStr">
        <is>
          <t>♥6</t>
        </is>
      </c>
      <c r="I30" s="4" t="inlineStr">
        <is>
          <t>玩1</t>
        </is>
      </c>
      <c r="J30" s="4" t="n">
        <v>5</v>
      </c>
      <c r="K30" s="4" t="inlineStr">
        <is>
          <t>庄家方</t>
        </is>
      </c>
    </row>
    <row r="31">
      <c r="A31" s="4" t="n">
        <v>3</v>
      </c>
      <c r="B31" s="4" t="n">
        <v>7</v>
      </c>
      <c r="C31" s="4" t="inlineStr">
        <is>
          <t>单张</t>
        </is>
      </c>
      <c r="D31" s="4" t="inlineStr">
        <is>
          <t>玩1</t>
        </is>
      </c>
      <c r="E31" s="4" t="inlineStr">
        <is>
          <t>♠Q</t>
        </is>
      </c>
      <c r="F31" s="4" t="inlineStr">
        <is>
          <t>♦8</t>
        </is>
      </c>
      <c r="G31" s="4" t="inlineStr">
        <is>
          <t>♠10</t>
        </is>
      </c>
      <c r="H31" s="4" t="inlineStr">
        <is>
          <t>♠8</t>
        </is>
      </c>
      <c r="I31" s="4" t="inlineStr">
        <is>
          <t>玩1</t>
        </is>
      </c>
      <c r="J31" s="4" t="n">
        <v>10</v>
      </c>
      <c r="K31" s="4" t="inlineStr">
        <is>
          <t>庄家方</t>
        </is>
      </c>
    </row>
    <row r="32">
      <c r="A32" s="4" t="n">
        <v>3</v>
      </c>
      <c r="B32" s="4" t="n">
        <v>8</v>
      </c>
      <c r="C32" s="4" t="inlineStr">
        <is>
          <t>单张</t>
        </is>
      </c>
      <c r="D32" s="4" t="inlineStr">
        <is>
          <t>玩1</t>
        </is>
      </c>
      <c r="E32" s="4" t="inlineStr">
        <is>
          <t>♠A</t>
        </is>
      </c>
      <c r="F32" s="4" t="inlineStr">
        <is>
          <t>♦9</t>
        </is>
      </c>
      <c r="G32" s="4" t="inlineStr">
        <is>
          <t>♠K</t>
        </is>
      </c>
      <c r="H32" s="4" t="inlineStr">
        <is>
          <t>♥10</t>
        </is>
      </c>
      <c r="I32" s="4" t="inlineStr">
        <is>
          <t>玩1</t>
        </is>
      </c>
      <c r="J32" s="4" t="n">
        <v>20</v>
      </c>
      <c r="K32" s="4" t="inlineStr">
        <is>
          <t>庄家方</t>
        </is>
      </c>
    </row>
    <row r="33">
      <c r="A33" s="4" t="n">
        <v>3</v>
      </c>
      <c r="B33" s="4" t="n">
        <v>9</v>
      </c>
      <c r="C33" s="4" t="inlineStr">
        <is>
          <t>单张</t>
        </is>
      </c>
      <c r="D33" s="4" t="inlineStr">
        <is>
          <t>玩1</t>
        </is>
      </c>
      <c r="E33" s="4" t="inlineStr">
        <is>
          <t>♦5</t>
        </is>
      </c>
      <c r="F33" s="4" t="inlineStr">
        <is>
          <t>♦K</t>
        </is>
      </c>
      <c r="G33" s="4" t="inlineStr">
        <is>
          <t>♥3</t>
        </is>
      </c>
      <c r="H33" s="4" t="inlineStr">
        <is>
          <t>♦Q</t>
        </is>
      </c>
      <c r="I33" s="4" t="inlineStr">
        <is>
          <t>玩3</t>
        </is>
      </c>
      <c r="J33" s="4" t="n">
        <v>15</v>
      </c>
      <c r="K33" s="4" t="inlineStr">
        <is>
          <t>庄家方</t>
        </is>
      </c>
    </row>
    <row r="34">
      <c r="A34" s="4" t="n">
        <v>3</v>
      </c>
      <c r="B34" s="4" t="n">
        <v>10</v>
      </c>
      <c r="C34" s="4" t="inlineStr">
        <is>
          <t>单张</t>
        </is>
      </c>
      <c r="D34" s="4" t="inlineStr">
        <is>
          <t>玩3</t>
        </is>
      </c>
      <c r="E34" s="4" t="inlineStr">
        <is>
          <t>♠5</t>
        </is>
      </c>
      <c r="F34" s="4" t="inlineStr">
        <is>
          <t>♥Q</t>
        </is>
      </c>
      <c r="G34" s="4" t="inlineStr">
        <is>
          <t>♣K</t>
        </is>
      </c>
      <c r="H34" s="4" t="inlineStr">
        <is>
          <t>♥K</t>
        </is>
      </c>
      <c r="I34" s="4" t="inlineStr">
        <is>
          <t>玩3</t>
        </is>
      </c>
      <c r="J34" s="4" t="n">
        <v>25</v>
      </c>
      <c r="K34" s="4" t="inlineStr">
        <is>
          <t>庄家方</t>
        </is>
      </c>
    </row>
    <row r="35">
      <c r="A35" s="4" t="n">
        <v>4</v>
      </c>
      <c r="B35" s="4" t="n">
        <v>1</v>
      </c>
      <c r="C35" s="4" t="inlineStr">
        <is>
          <t>对子</t>
        </is>
      </c>
      <c r="D35" s="4" t="inlineStr">
        <is>
          <t>玩4</t>
        </is>
      </c>
      <c r="E35" s="4" t="inlineStr">
        <is>
          <t>♦3 ♦5</t>
        </is>
      </c>
      <c r="F35" s="4" t="inlineStr">
        <is>
          <t>♦2 ♦10</t>
        </is>
      </c>
      <c r="G35" s="4" t="inlineStr">
        <is>
          <t>♥3 大王</t>
        </is>
      </c>
      <c r="H35" s="4" t="inlineStr">
        <is>
          <t>♦6 ♣6</t>
        </is>
      </c>
      <c r="I35" s="4" t="inlineStr">
        <is>
          <t>玩3</t>
        </is>
      </c>
      <c r="J35" s="4" t="n">
        <v>15</v>
      </c>
      <c r="K35" s="4" t="inlineStr">
        <is>
          <t>抓分方</t>
        </is>
      </c>
    </row>
    <row r="36">
      <c r="A36" s="4" t="n">
        <v>4</v>
      </c>
      <c r="B36" s="4" t="n">
        <v>2</v>
      </c>
      <c r="C36" s="4" t="inlineStr">
        <is>
          <t>对子</t>
        </is>
      </c>
      <c r="D36" s="4" t="inlineStr">
        <is>
          <t>玩3</t>
        </is>
      </c>
      <c r="E36" s="4" t="inlineStr">
        <is>
          <t>♠3 ♠5</t>
        </is>
      </c>
      <c r="F36" s="4" t="inlineStr">
        <is>
          <t>♥5 ♥6</t>
        </is>
      </c>
      <c r="G36" s="4" t="inlineStr">
        <is>
          <t>♥4 ♣4</t>
        </is>
      </c>
      <c r="H36" s="4" t="inlineStr">
        <is>
          <t>♠7 ♥7</t>
        </is>
      </c>
      <c r="I36" s="4" t="inlineStr">
        <is>
          <t>玩4</t>
        </is>
      </c>
      <c r="J36" s="4" t="n">
        <v>10</v>
      </c>
      <c r="K36" s="4" t="inlineStr">
        <is>
          <t>庄家方</t>
        </is>
      </c>
    </row>
    <row r="37">
      <c r="A37" s="4" t="n">
        <v>4</v>
      </c>
      <c r="B37" s="4" t="n">
        <v>3</v>
      </c>
      <c r="C37" s="4" t="inlineStr">
        <is>
          <t>对子</t>
        </is>
      </c>
      <c r="D37" s="4" t="inlineStr">
        <is>
          <t>玩4</t>
        </is>
      </c>
      <c r="E37" s="4" t="inlineStr">
        <is>
          <t>♠2 ♠8</t>
        </is>
      </c>
      <c r="F37" s="4" t="inlineStr">
        <is>
          <t>♠6 ♣7</t>
        </is>
      </c>
      <c r="G37" s="4" t="inlineStr">
        <is>
          <t>♣3 ♣5</t>
        </is>
      </c>
      <c r="H37" s="4" t="inlineStr">
        <is>
          <t>♠Q ♣Q</t>
        </is>
      </c>
      <c r="I37" s="4" t="inlineStr">
        <is>
          <t>玩1</t>
        </is>
      </c>
      <c r="J37" s="4" t="n">
        <v>5</v>
      </c>
      <c r="K37" s="4" t="inlineStr">
        <is>
          <t>抓分方</t>
        </is>
      </c>
    </row>
    <row r="38">
      <c r="A38" s="4" t="n">
        <v>4</v>
      </c>
      <c r="B38" s="4" t="n">
        <v>4</v>
      </c>
      <c r="C38" s="4" t="inlineStr">
        <is>
          <t>对子</t>
        </is>
      </c>
      <c r="D38" s="4" t="inlineStr">
        <is>
          <t>玩1</t>
        </is>
      </c>
      <c r="E38" s="4" t="inlineStr">
        <is>
          <t>♠J ♣J</t>
        </is>
      </c>
      <c r="F38" s="4" t="inlineStr">
        <is>
          <t>♥8 ♣9</t>
        </is>
      </c>
      <c r="G38" s="4" t="inlineStr">
        <is>
          <t>♣8 ♥J</t>
        </is>
      </c>
      <c r="H38" s="4" t="inlineStr">
        <is>
          <t>♦8 ♦9</t>
        </is>
      </c>
      <c r="I38" s="4" t="inlineStr">
        <is>
          <t>玩1</t>
        </is>
      </c>
      <c r="J38" s="4" t="n">
        <v>0</v>
      </c>
      <c r="K38" s="4" t="inlineStr">
        <is>
          <t>抓分方</t>
        </is>
      </c>
    </row>
    <row r="39">
      <c r="A39" s="4" t="n">
        <v>4</v>
      </c>
      <c r="B39" s="4" t="n">
        <v>5</v>
      </c>
      <c r="C39" s="4" t="inlineStr">
        <is>
          <t>单张</t>
        </is>
      </c>
      <c r="D39" s="4" t="inlineStr">
        <is>
          <t>玩1</t>
        </is>
      </c>
      <c r="E39" s="4" t="inlineStr">
        <is>
          <t>♠9</t>
        </is>
      </c>
      <c r="F39" s="4" t="inlineStr">
        <is>
          <t>♥10</t>
        </is>
      </c>
      <c r="G39" s="4" t="inlineStr">
        <is>
          <t>♠A</t>
        </is>
      </c>
      <c r="H39" s="4" t="inlineStr">
        <is>
          <t>♠K</t>
        </is>
      </c>
      <c r="I39" s="4" t="inlineStr">
        <is>
          <t>玩3</t>
        </is>
      </c>
      <c r="J39" s="4" t="n">
        <v>20</v>
      </c>
      <c r="K39" s="4" t="inlineStr">
        <is>
          <t>抓分方</t>
        </is>
      </c>
    </row>
    <row r="40">
      <c r="A40" s="4" t="n">
        <v>4</v>
      </c>
      <c r="B40" s="4" t="n">
        <v>6</v>
      </c>
      <c r="C40" s="4" t="inlineStr">
        <is>
          <t>单张</t>
        </is>
      </c>
      <c r="D40" s="4" t="inlineStr">
        <is>
          <t>玩3</t>
        </is>
      </c>
      <c r="E40" s="4" t="inlineStr">
        <is>
          <t>♠10</t>
        </is>
      </c>
      <c r="F40" s="4" t="inlineStr">
        <is>
          <t>♦K</t>
        </is>
      </c>
      <c r="G40" s="4" t="inlineStr">
        <is>
          <t>♦Q</t>
        </is>
      </c>
      <c r="H40" s="4" t="inlineStr">
        <is>
          <t>♦J</t>
        </is>
      </c>
      <c r="I40" s="4" t="inlineStr">
        <is>
          <t>玩2</t>
        </is>
      </c>
      <c r="J40" s="4" t="n">
        <v>20</v>
      </c>
      <c r="K40" s="4" t="inlineStr">
        <is>
          <t>庄家方</t>
        </is>
      </c>
    </row>
    <row r="41">
      <c r="A41" s="4" t="n">
        <v>4</v>
      </c>
      <c r="B41" s="4" t="n">
        <v>7</v>
      </c>
      <c r="C41" s="4" t="inlineStr">
        <is>
          <t>单张</t>
        </is>
      </c>
      <c r="D41" s="4" t="inlineStr">
        <is>
          <t>玩2</t>
        </is>
      </c>
      <c r="E41" s="4" t="inlineStr">
        <is>
          <t>♥Q</t>
        </is>
      </c>
      <c r="F41" s="4" t="inlineStr">
        <is>
          <t>♥A</t>
        </is>
      </c>
      <c r="G41" s="4" t="inlineStr">
        <is>
          <t>♥K</t>
        </is>
      </c>
      <c r="H41" s="4" t="inlineStr">
        <is>
          <t>小王</t>
        </is>
      </c>
      <c r="I41" s="4" t="inlineStr">
        <is>
          <t>玩4</t>
        </is>
      </c>
      <c r="J41" s="4" t="n">
        <v>10</v>
      </c>
      <c r="K41" s="4" t="inlineStr">
        <is>
          <t>庄家方</t>
        </is>
      </c>
    </row>
    <row r="42">
      <c r="A42" s="4" t="n">
        <v>4</v>
      </c>
      <c r="B42" s="4" t="n">
        <v>8</v>
      </c>
      <c r="C42" s="4" t="inlineStr">
        <is>
          <t>单张</t>
        </is>
      </c>
      <c r="D42" s="4" t="inlineStr">
        <is>
          <t>玩4</t>
        </is>
      </c>
      <c r="E42" s="4" t="inlineStr">
        <is>
          <t>♣K</t>
        </is>
      </c>
      <c r="F42" s="4" t="inlineStr">
        <is>
          <t>♣10</t>
        </is>
      </c>
      <c r="G42" s="4" t="inlineStr">
        <is>
          <t>♣2</t>
        </is>
      </c>
      <c r="H42" s="4" t="inlineStr">
        <is>
          <t>♣A</t>
        </is>
      </c>
      <c r="I42" s="4" t="inlineStr">
        <is>
          <t>玩3</t>
        </is>
      </c>
      <c r="J42" s="4" t="n">
        <v>20</v>
      </c>
      <c r="K42" s="4" t="inlineStr">
        <is>
          <t>抓分方</t>
        </is>
      </c>
    </row>
    <row r="43">
      <c r="A43" s="4" t="n">
        <v>5</v>
      </c>
      <c r="B43" s="4" t="n">
        <v>1</v>
      </c>
      <c r="C43" s="4" t="inlineStr">
        <is>
          <t>对子</t>
        </is>
      </c>
      <c r="D43" s="4" t="inlineStr">
        <is>
          <t>玩1</t>
        </is>
      </c>
      <c r="E43" s="4" t="inlineStr">
        <is>
          <t>♠J ♥J</t>
        </is>
      </c>
      <c r="F43" s="4" t="inlineStr">
        <is>
          <t>♠5 ♠7</t>
        </is>
      </c>
      <c r="G43" s="4" t="inlineStr">
        <is>
          <t>♥3 小王</t>
        </is>
      </c>
      <c r="H43" s="4" t="inlineStr">
        <is>
          <t>♠4 ♠8</t>
        </is>
      </c>
      <c r="I43" s="4" t="inlineStr">
        <is>
          <t>玩3</t>
        </is>
      </c>
      <c r="J43" s="4" t="n">
        <v>5</v>
      </c>
      <c r="K43" s="4" t="inlineStr">
        <is>
          <t>庄家方</t>
        </is>
      </c>
    </row>
    <row r="44">
      <c r="A44" s="4" t="n">
        <v>5</v>
      </c>
      <c r="B44" s="4" t="n">
        <v>2</v>
      </c>
      <c r="C44" s="4" t="inlineStr">
        <is>
          <t>对子</t>
        </is>
      </c>
      <c r="D44" s="4" t="inlineStr">
        <is>
          <t>玩3</t>
        </is>
      </c>
      <c r="E44" s="4" t="inlineStr">
        <is>
          <t>♣5 ♥9</t>
        </is>
      </c>
      <c r="F44" s="4" t="inlineStr">
        <is>
          <t>♥10 ♥Q</t>
        </is>
      </c>
      <c r="G44" s="4" t="inlineStr">
        <is>
          <t>♥8 ♣8</t>
        </is>
      </c>
      <c r="H44" s="4" t="inlineStr">
        <is>
          <t>♥2 ♥4</t>
        </is>
      </c>
      <c r="I44" s="4" t="inlineStr">
        <is>
          <t>玩4</t>
        </is>
      </c>
      <c r="J44" s="4" t="n">
        <v>15</v>
      </c>
      <c r="K44" s="4" t="inlineStr">
        <is>
          <t>抓分方</t>
        </is>
      </c>
    </row>
    <row r="45">
      <c r="A45" s="4" t="n">
        <v>5</v>
      </c>
      <c r="B45" s="4" t="n">
        <v>3</v>
      </c>
      <c r="C45" s="4" t="inlineStr">
        <is>
          <t>对子</t>
        </is>
      </c>
      <c r="D45" s="4" t="inlineStr">
        <is>
          <t>玩4</t>
        </is>
      </c>
      <c r="E45" s="4" t="inlineStr">
        <is>
          <t>♣J ♣Q</t>
        </is>
      </c>
      <c r="F45" s="4" t="inlineStr">
        <is>
          <t>♣3 ♦4</t>
        </is>
      </c>
      <c r="G45" s="4" t="inlineStr">
        <is>
          <t>♦5 ♦9</t>
        </is>
      </c>
      <c r="H45" s="4" t="inlineStr">
        <is>
          <t>♦6 ♥6</t>
        </is>
      </c>
      <c r="I45" s="4" t="inlineStr">
        <is>
          <t>玩3</t>
        </is>
      </c>
      <c r="J45" s="4" t="n">
        <v>5</v>
      </c>
      <c r="K45" s="4" t="inlineStr">
        <is>
          <t>庄家方</t>
        </is>
      </c>
    </row>
    <row r="46">
      <c r="A46" s="4" t="n">
        <v>5</v>
      </c>
      <c r="B46" s="4" t="n">
        <v>4</v>
      </c>
      <c r="C46" s="4" t="inlineStr">
        <is>
          <t>单张</t>
        </is>
      </c>
      <c r="D46" s="4" t="inlineStr">
        <is>
          <t>玩3</t>
        </is>
      </c>
      <c r="E46" s="4" t="inlineStr">
        <is>
          <t>♣2</t>
        </is>
      </c>
      <c r="F46" s="4" t="inlineStr">
        <is>
          <t>♥A</t>
        </is>
      </c>
      <c r="G46" s="4" t="inlineStr">
        <is>
          <t>♥7</t>
        </is>
      </c>
      <c r="H46" s="4" t="inlineStr">
        <is>
          <t>♥5</t>
        </is>
      </c>
      <c r="I46" s="4" t="inlineStr">
        <is>
          <t>玩1</t>
        </is>
      </c>
      <c r="J46" s="4" t="n">
        <v>5</v>
      </c>
      <c r="K46" s="4" t="inlineStr">
        <is>
          <t>庄家方</t>
        </is>
      </c>
    </row>
    <row r="47">
      <c r="A47" s="4" t="n">
        <v>5</v>
      </c>
      <c r="B47" s="4" t="n">
        <v>5</v>
      </c>
      <c r="C47" s="4" t="inlineStr">
        <is>
          <t>对子</t>
        </is>
      </c>
      <c r="D47" s="4" t="inlineStr">
        <is>
          <t>玩1</t>
        </is>
      </c>
      <c r="E47" s="4" t="inlineStr">
        <is>
          <t>♣A ♠A</t>
        </is>
      </c>
      <c r="F47" s="4" t="inlineStr">
        <is>
          <t>♣6 ♣7</t>
        </is>
      </c>
      <c r="G47" s="4" t="inlineStr">
        <is>
          <t>♣9 ♦Q</t>
        </is>
      </c>
      <c r="H47" s="4" t="inlineStr">
        <is>
          <t>♦7 ♦8</t>
        </is>
      </c>
      <c r="I47" s="4" t="inlineStr">
        <is>
          <t>玩1</t>
        </is>
      </c>
      <c r="J47" s="4" t="n">
        <v>0</v>
      </c>
      <c r="K47" s="4" t="inlineStr">
        <is>
          <t>庄家方</t>
        </is>
      </c>
    </row>
    <row r="48">
      <c r="A48" s="4" t="n">
        <v>5</v>
      </c>
      <c r="B48" s="4" t="n">
        <v>6</v>
      </c>
      <c r="C48" s="4" t="inlineStr">
        <is>
          <t>单张</t>
        </is>
      </c>
      <c r="D48" s="4" t="inlineStr">
        <is>
          <t>玩1</t>
        </is>
      </c>
      <c r="E48" s="4" t="inlineStr">
        <is>
          <t>♣K</t>
        </is>
      </c>
      <c r="F48" s="4" t="inlineStr">
        <is>
          <t>♠9</t>
        </is>
      </c>
      <c r="G48" s="4" t="inlineStr">
        <is>
          <t>大王</t>
        </is>
      </c>
      <c r="H48" s="4" t="inlineStr">
        <is>
          <t>♣10</t>
        </is>
      </c>
      <c r="I48" s="4" t="inlineStr">
        <is>
          <t>玩3</t>
        </is>
      </c>
      <c r="J48" s="4" t="n">
        <v>20</v>
      </c>
      <c r="K48" s="4" t="inlineStr">
        <is>
          <t>庄家方</t>
        </is>
      </c>
    </row>
    <row r="49">
      <c r="A49" s="4" t="n">
        <v>5</v>
      </c>
      <c r="B49" s="4" t="n">
        <v>7</v>
      </c>
      <c r="C49" s="4" t="inlineStr">
        <is>
          <t>单张</t>
        </is>
      </c>
      <c r="D49" s="4" t="inlineStr">
        <is>
          <t>玩3</t>
        </is>
      </c>
      <c r="E49" s="4" t="inlineStr">
        <is>
          <t>♦K</t>
        </is>
      </c>
      <c r="F49" s="4" t="inlineStr">
        <is>
          <t>♠10</t>
        </is>
      </c>
      <c r="G49" s="4" t="inlineStr">
        <is>
          <t>♦A</t>
        </is>
      </c>
      <c r="H49" s="4" t="inlineStr">
        <is>
          <t>♦J</t>
        </is>
      </c>
      <c r="I49" s="4" t="inlineStr">
        <is>
          <t>玩3</t>
        </is>
      </c>
      <c r="J49" s="4" t="n">
        <v>20</v>
      </c>
      <c r="K49" s="4" t="inlineStr">
        <is>
          <t>庄家方</t>
        </is>
      </c>
    </row>
    <row r="50">
      <c r="A50" s="4" t="n">
        <v>5</v>
      </c>
      <c r="B50" s="4" t="n">
        <v>8</v>
      </c>
      <c r="C50" s="4" t="inlineStr">
        <is>
          <t>单张</t>
        </is>
      </c>
      <c r="D50" s="4" t="inlineStr">
        <is>
          <t>玩3</t>
        </is>
      </c>
      <c r="E50" s="4" t="inlineStr">
        <is>
          <t>♠K</t>
        </is>
      </c>
      <c r="F50" s="4" t="inlineStr">
        <is>
          <t>♠Q</t>
        </is>
      </c>
      <c r="G50" s="4" t="inlineStr">
        <is>
          <t>♥K</t>
        </is>
      </c>
      <c r="H50" s="4" t="inlineStr">
        <is>
          <t>♦10</t>
        </is>
      </c>
      <c r="I50" s="4" t="inlineStr">
        <is>
          <t>玩3</t>
        </is>
      </c>
      <c r="J50" s="4" t="n">
        <v>30</v>
      </c>
      <c r="K50" s="4" t="inlineStr">
        <is>
          <t>庄家方</t>
        </is>
      </c>
    </row>
    <row r="51">
      <c r="A51" s="4" t="n">
        <v>6</v>
      </c>
      <c r="B51" s="4" t="n">
        <v>1</v>
      </c>
      <c r="C51" s="4" t="inlineStr">
        <is>
          <t>对子</t>
        </is>
      </c>
      <c r="D51" s="4" t="inlineStr">
        <is>
          <t>玩2</t>
        </is>
      </c>
      <c r="E51" s="4" t="inlineStr">
        <is>
          <t>♥2 ♥5</t>
        </is>
      </c>
      <c r="F51" s="4" t="inlineStr">
        <is>
          <t>♥4 ♠4</t>
        </is>
      </c>
      <c r="G51" s="4" t="inlineStr">
        <is>
          <t>♥9 ♥10</t>
        </is>
      </c>
      <c r="H51" s="4" t="inlineStr">
        <is>
          <t>♥3 ♥7</t>
        </is>
      </c>
      <c r="I51" s="4" t="inlineStr">
        <is>
          <t>玩4</t>
        </is>
      </c>
      <c r="J51" s="4" t="n">
        <v>15</v>
      </c>
      <c r="K51" s="4" t="inlineStr">
        <is>
          <t>庄家方</t>
        </is>
      </c>
    </row>
    <row r="52">
      <c r="A52" s="4" t="n">
        <v>6</v>
      </c>
      <c r="B52" s="4" t="n">
        <v>2</v>
      </c>
      <c r="C52" s="4" t="inlineStr">
        <is>
          <t>对子</t>
        </is>
      </c>
      <c r="D52" s="4" t="inlineStr">
        <is>
          <t>玩4</t>
        </is>
      </c>
      <c r="E52" s="4" t="inlineStr">
        <is>
          <t>♣5 ♣7</t>
        </is>
      </c>
      <c r="F52" s="4" t="inlineStr">
        <is>
          <t>♠2 小王</t>
        </is>
      </c>
      <c r="G52" s="4" t="inlineStr">
        <is>
          <t>♣2 ♣8</t>
        </is>
      </c>
      <c r="H52" s="4" t="inlineStr">
        <is>
          <t>♣3 ♠3</t>
        </is>
      </c>
      <c r="I52" s="4" t="inlineStr">
        <is>
          <t>玩2</t>
        </is>
      </c>
      <c r="J52" s="4" t="n">
        <v>5</v>
      </c>
      <c r="K52" s="4" t="inlineStr">
        <is>
          <t>庄家方</t>
        </is>
      </c>
    </row>
    <row r="53">
      <c r="A53" s="4" t="n">
        <v>6</v>
      </c>
      <c r="B53" s="4" t="n">
        <v>3</v>
      </c>
      <c r="C53" s="4" t="inlineStr">
        <is>
          <t>单张</t>
        </is>
      </c>
      <c r="D53" s="4" t="inlineStr">
        <is>
          <t>玩2</t>
        </is>
      </c>
      <c r="E53" s="4" t="inlineStr">
        <is>
          <t>♥6</t>
        </is>
      </c>
      <c r="F53" s="4" t="inlineStr">
        <is>
          <t>♥8</t>
        </is>
      </c>
      <c r="G53" s="4" t="inlineStr">
        <is>
          <t>♥Q</t>
        </is>
      </c>
      <c r="H53" s="4" t="inlineStr">
        <is>
          <t>♥A</t>
        </is>
      </c>
      <c r="I53" s="4" t="inlineStr">
        <is>
          <t>玩4</t>
        </is>
      </c>
      <c r="J53" s="4" t="n">
        <v>0</v>
      </c>
      <c r="K53" s="4" t="inlineStr">
        <is>
          <t>庄家方</t>
        </is>
      </c>
    </row>
    <row r="54">
      <c r="A54" s="4" t="n">
        <v>6</v>
      </c>
      <c r="B54" s="4" t="n">
        <v>4</v>
      </c>
      <c r="C54" s="4" t="inlineStr">
        <is>
          <t>对子</t>
        </is>
      </c>
      <c r="D54" s="4" t="inlineStr">
        <is>
          <t>玩4</t>
        </is>
      </c>
      <c r="E54" s="4" t="inlineStr">
        <is>
          <t>♦3 ♦6</t>
        </is>
      </c>
      <c r="F54" s="4" t="inlineStr">
        <is>
          <t>♦5 ♦10</t>
        </is>
      </c>
      <c r="G54" s="4" t="inlineStr">
        <is>
          <t>♦4 ♦8</t>
        </is>
      </c>
      <c r="H54" s="4" t="inlineStr">
        <is>
          <t>♦7 ♠7</t>
        </is>
      </c>
      <c r="I54" s="4" t="inlineStr">
        <is>
          <t>玩2</t>
        </is>
      </c>
      <c r="J54" s="4" t="n">
        <v>15</v>
      </c>
      <c r="K54" s="4" t="inlineStr">
        <is>
          <t>庄家方</t>
        </is>
      </c>
    </row>
    <row r="55">
      <c r="A55" s="4" t="n">
        <v>6</v>
      </c>
      <c r="B55" s="4" t="n">
        <v>5</v>
      </c>
      <c r="C55" s="4" t="inlineStr">
        <is>
          <t>单张</t>
        </is>
      </c>
      <c r="D55" s="4" t="inlineStr">
        <is>
          <t>玩2</t>
        </is>
      </c>
      <c r="E55" s="4" t="inlineStr">
        <is>
          <t>♠A</t>
        </is>
      </c>
      <c r="F55" s="4" t="inlineStr">
        <is>
          <t>♠Q</t>
        </is>
      </c>
      <c r="G55" s="4" t="inlineStr">
        <is>
          <t>♠8</t>
        </is>
      </c>
      <c r="H55" s="4" t="inlineStr">
        <is>
          <t>♠K</t>
        </is>
      </c>
      <c r="I55" s="4" t="inlineStr">
        <is>
          <t>玩1</t>
        </is>
      </c>
      <c r="J55" s="4" t="n">
        <v>10</v>
      </c>
      <c r="K55" s="4" t="inlineStr">
        <is>
          <t>抓分方</t>
        </is>
      </c>
    </row>
    <row r="56">
      <c r="A56" s="4" t="n">
        <v>6</v>
      </c>
      <c r="B56" s="4" t="n">
        <v>6</v>
      </c>
      <c r="C56" s="4" t="inlineStr">
        <is>
          <t>单张</t>
        </is>
      </c>
      <c r="D56" s="4" t="inlineStr">
        <is>
          <t>玩1</t>
        </is>
      </c>
      <c r="E56" s="4" t="inlineStr">
        <is>
          <t>♣J</t>
        </is>
      </c>
      <c r="F56" s="4" t="inlineStr">
        <is>
          <t>♠10</t>
        </is>
      </c>
      <c r="G56" s="4" t="inlineStr">
        <is>
          <t>♣A</t>
        </is>
      </c>
      <c r="H56" s="4" t="inlineStr">
        <is>
          <t>♣4</t>
        </is>
      </c>
      <c r="I56" s="4" t="inlineStr">
        <is>
          <t>玩3</t>
        </is>
      </c>
      <c r="J56" s="4" t="n">
        <v>10</v>
      </c>
      <c r="K56" s="4" t="inlineStr">
        <is>
          <t>抓分方</t>
        </is>
      </c>
    </row>
    <row r="57">
      <c r="A57" s="4" t="n">
        <v>6</v>
      </c>
      <c r="B57" s="4" t="n">
        <v>7</v>
      </c>
      <c r="C57" s="4" t="inlineStr">
        <is>
          <t>单张</t>
        </is>
      </c>
      <c r="D57" s="4" t="inlineStr">
        <is>
          <t>玩3</t>
        </is>
      </c>
      <c r="E57" s="4" t="inlineStr">
        <is>
          <t>♠5</t>
        </is>
      </c>
      <c r="F57" s="4" t="inlineStr">
        <is>
          <t>♥K</t>
        </is>
      </c>
      <c r="G57" s="4" t="inlineStr">
        <is>
          <t>♠9</t>
        </is>
      </c>
      <c r="H57" s="4" t="inlineStr">
        <is>
          <t>♣6</t>
        </is>
      </c>
      <c r="I57" s="4" t="inlineStr">
        <is>
          <t>玩3</t>
        </is>
      </c>
      <c r="J57" s="4" t="n">
        <v>15</v>
      </c>
      <c r="K57" s="4" t="inlineStr">
        <is>
          <t>抓分方</t>
        </is>
      </c>
    </row>
    <row r="58">
      <c r="A58" s="4" t="n">
        <v>6</v>
      </c>
      <c r="B58" s="4" t="n">
        <v>8</v>
      </c>
      <c r="C58" s="4" t="inlineStr">
        <is>
          <t>单张</t>
        </is>
      </c>
      <c r="D58" s="4" t="inlineStr">
        <is>
          <t>玩3</t>
        </is>
      </c>
      <c r="E58" s="4" t="inlineStr">
        <is>
          <t>大王</t>
        </is>
      </c>
      <c r="F58" s="4" t="inlineStr">
        <is>
          <t>♦K</t>
        </is>
      </c>
      <c r="G58" s="4" t="inlineStr">
        <is>
          <t>♠J</t>
        </is>
      </c>
      <c r="H58" s="4" t="inlineStr">
        <is>
          <t>♣K</t>
        </is>
      </c>
      <c r="I58" s="4" t="inlineStr">
        <is>
          <t>玩1</t>
        </is>
      </c>
      <c r="J58" s="4" t="n">
        <v>20</v>
      </c>
      <c r="K58" s="4" t="inlineStr">
        <is>
          <t>抓分方</t>
        </is>
      </c>
    </row>
    <row r="59">
      <c r="A59" s="4" t="n">
        <v>6</v>
      </c>
      <c r="B59" s="4" t="n">
        <v>9</v>
      </c>
      <c r="C59" s="4" t="inlineStr">
        <is>
          <t>单张</t>
        </is>
      </c>
      <c r="D59" s="4" t="inlineStr">
        <is>
          <t>玩1</t>
        </is>
      </c>
      <c r="E59" s="4" t="inlineStr">
        <is>
          <t>♦Q</t>
        </is>
      </c>
      <c r="F59" s="4" t="inlineStr">
        <is>
          <t>♦A</t>
        </is>
      </c>
      <c r="G59" s="4" t="inlineStr">
        <is>
          <t>♣10</t>
        </is>
      </c>
      <c r="H59" s="4" t="inlineStr">
        <is>
          <t>♦2</t>
        </is>
      </c>
      <c r="I59" s="4" t="inlineStr">
        <is>
          <t>玩4</t>
        </is>
      </c>
      <c r="J59" s="4" t="n">
        <v>10</v>
      </c>
      <c r="K59" s="4" t="inlineStr">
        <is>
          <t>庄家方</t>
        </is>
      </c>
    </row>
    <row r="60">
      <c r="A60" s="4" t="n">
        <v>7</v>
      </c>
      <c r="B60" s="4" t="n">
        <v>1</v>
      </c>
      <c r="C60" s="4" t="inlineStr">
        <is>
          <t>对子</t>
        </is>
      </c>
      <c r="D60" s="4" t="inlineStr">
        <is>
          <t>玩3</t>
        </is>
      </c>
      <c r="E60" s="4" t="inlineStr">
        <is>
          <t>♣3 ♣6</t>
        </is>
      </c>
      <c r="F60" s="4" t="inlineStr">
        <is>
          <t>♣J ♣Q</t>
        </is>
      </c>
      <c r="G60" s="4" t="inlineStr">
        <is>
          <t>♣9 ♥9</t>
        </is>
      </c>
      <c r="H60" s="4" t="inlineStr">
        <is>
          <t>♣2 ♣7</t>
        </is>
      </c>
      <c r="I60" s="4" t="inlineStr">
        <is>
          <t>玩4</t>
        </is>
      </c>
      <c r="J60" s="4" t="n">
        <v>0</v>
      </c>
      <c r="K60" s="4" t="inlineStr">
        <is>
          <t>抓分方</t>
        </is>
      </c>
    </row>
    <row r="61">
      <c r="A61" s="4" t="n">
        <v>7</v>
      </c>
      <c r="B61" s="4" t="n">
        <v>2</v>
      </c>
      <c r="C61" s="4" t="inlineStr">
        <is>
          <t>对子</t>
        </is>
      </c>
      <c r="D61" s="4" t="inlineStr">
        <is>
          <t>玩4</t>
        </is>
      </c>
      <c r="E61" s="4" t="inlineStr">
        <is>
          <t>♠3 ♦4</t>
        </is>
      </c>
      <c r="F61" s="4" t="inlineStr">
        <is>
          <t>♦5 ♦6</t>
        </is>
      </c>
      <c r="G61" s="4" t="inlineStr">
        <is>
          <t>♦2 ♦7</t>
        </is>
      </c>
      <c r="H61" s="4" t="inlineStr">
        <is>
          <t>♦A ♣A</t>
        </is>
      </c>
      <c r="I61" s="4" t="inlineStr">
        <is>
          <t>玩3</t>
        </is>
      </c>
      <c r="J61" s="4" t="n">
        <v>5</v>
      </c>
      <c r="K61" s="4" t="inlineStr">
        <is>
          <t>庄家方</t>
        </is>
      </c>
    </row>
    <row r="62">
      <c r="A62" s="4" t="n">
        <v>7</v>
      </c>
      <c r="B62" s="4" t="n">
        <v>3</v>
      </c>
      <c r="C62" s="4" t="inlineStr">
        <is>
          <t>单张</t>
        </is>
      </c>
      <c r="D62" s="4" t="inlineStr">
        <is>
          <t>玩3</t>
        </is>
      </c>
      <c r="E62" s="4" t="inlineStr">
        <is>
          <t>♠5</t>
        </is>
      </c>
      <c r="F62" s="4" t="inlineStr">
        <is>
          <t>♦10</t>
        </is>
      </c>
      <c r="G62" s="4" t="inlineStr">
        <is>
          <t>♦8</t>
        </is>
      </c>
      <c r="H62" s="4" t="inlineStr">
        <is>
          <t>♦9</t>
        </is>
      </c>
      <c r="I62" s="4" t="inlineStr">
        <is>
          <t>玩2</t>
        </is>
      </c>
      <c r="J62" s="4" t="n">
        <v>15</v>
      </c>
      <c r="K62" s="4" t="inlineStr">
        <is>
          <t>抓分方</t>
        </is>
      </c>
    </row>
    <row r="63">
      <c r="A63" s="4" t="n">
        <v>7</v>
      </c>
      <c r="B63" s="4" t="n">
        <v>4</v>
      </c>
      <c r="C63" s="4" t="inlineStr">
        <is>
          <t>对子</t>
        </is>
      </c>
      <c r="D63" s="4" t="inlineStr">
        <is>
          <t>玩2</t>
        </is>
      </c>
      <c r="E63" s="4" t="inlineStr">
        <is>
          <t>♥3 ♥A</t>
        </is>
      </c>
      <c r="F63" s="4" t="inlineStr">
        <is>
          <t>♥J ♠J</t>
        </is>
      </c>
      <c r="G63" s="4" t="inlineStr">
        <is>
          <t>♣5 ♠10</t>
        </is>
      </c>
      <c r="H63" s="4" t="inlineStr">
        <is>
          <t>♥2 ♥8</t>
        </is>
      </c>
      <c r="I63" s="4" t="inlineStr">
        <is>
          <t>玩1</t>
        </is>
      </c>
      <c r="J63" s="4" t="n">
        <v>15</v>
      </c>
      <c r="K63" s="4" t="inlineStr">
        <is>
          <t>庄家方</t>
        </is>
      </c>
    </row>
    <row r="64">
      <c r="A64" s="4" t="n">
        <v>7</v>
      </c>
      <c r="B64" s="4" t="n">
        <v>5</v>
      </c>
      <c r="C64" s="4" t="inlineStr">
        <is>
          <t>对子</t>
        </is>
      </c>
      <c r="D64" s="4" t="inlineStr">
        <is>
          <t>玩1</t>
        </is>
      </c>
      <c r="E64" s="4" t="inlineStr">
        <is>
          <t>♣8 ♠8</t>
        </is>
      </c>
      <c r="F64" s="4" t="inlineStr">
        <is>
          <t>♥5 ♠6</t>
        </is>
      </c>
      <c r="G64" s="4" t="inlineStr">
        <is>
          <t>♠2</t>
        </is>
      </c>
      <c r="H64" s="4" t="inlineStr">
        <is>
          <t>♠4 ♠7</t>
        </is>
      </c>
      <c r="I64" s="4" t="inlineStr">
        <is>
          <t>玩3</t>
        </is>
      </c>
      <c r="J64" s="4" t="n">
        <v>5</v>
      </c>
      <c r="K64" s="4" t="inlineStr">
        <is>
          <t>庄家方</t>
        </is>
      </c>
    </row>
    <row r="65">
      <c r="A65" s="4" t="n">
        <v>7</v>
      </c>
      <c r="B65" s="4" t="n">
        <v>6</v>
      </c>
      <c r="C65" s="4" t="inlineStr">
        <is>
          <t>单张</t>
        </is>
      </c>
      <c r="D65" s="4" t="inlineStr">
        <is>
          <t>玩3</t>
        </is>
      </c>
      <c r="E65" s="4" t="inlineStr">
        <is>
          <t>♣K</t>
        </is>
      </c>
      <c r="F65" s="4" t="inlineStr">
        <is>
          <t>♠9</t>
        </is>
      </c>
      <c r="G65" s="4" t="inlineStr">
        <is>
          <t>♦J</t>
        </is>
      </c>
      <c r="H65" s="4" t="inlineStr">
        <is>
          <t>♦Q</t>
        </is>
      </c>
      <c r="I65" s="4" t="inlineStr">
        <is>
          <t>玩4</t>
        </is>
      </c>
      <c r="J65" s="4" t="n">
        <v>10</v>
      </c>
      <c r="K65" s="4" t="inlineStr">
        <is>
          <t>抓分方</t>
        </is>
      </c>
    </row>
    <row r="66">
      <c r="A66" s="4" t="n">
        <v>7</v>
      </c>
      <c r="B66" s="4" t="n">
        <v>7</v>
      </c>
      <c r="C66" s="4" t="inlineStr">
        <is>
          <t>单张</t>
        </is>
      </c>
      <c r="D66" s="4" t="inlineStr">
        <is>
          <t>玩4</t>
        </is>
      </c>
      <c r="E66" s="4" t="inlineStr">
        <is>
          <t>小王</t>
        </is>
      </c>
      <c r="F66" s="4" t="inlineStr">
        <is>
          <t>♥Q</t>
        </is>
      </c>
      <c r="G66" s="4" t="inlineStr">
        <is>
          <t>♠Q</t>
        </is>
      </c>
      <c r="H66" s="4" t="inlineStr">
        <is>
          <t>♠A</t>
        </is>
      </c>
      <c r="I66" s="4" t="inlineStr">
        <is>
          <t>玩1</t>
        </is>
      </c>
      <c r="J66" s="4" t="n">
        <v>0</v>
      </c>
      <c r="K66" s="4" t="inlineStr">
        <is>
          <t>庄家方</t>
        </is>
      </c>
    </row>
    <row r="67">
      <c r="A67" s="4" t="n">
        <v>7</v>
      </c>
      <c r="B67" s="4" t="n">
        <v>8</v>
      </c>
      <c r="C67" s="4" t="inlineStr">
        <is>
          <t>单张</t>
        </is>
      </c>
      <c r="D67" s="4" t="inlineStr">
        <is>
          <t>玩1</t>
        </is>
      </c>
      <c r="E67" s="4" t="inlineStr">
        <is>
          <t>大王</t>
        </is>
      </c>
      <c r="F67" s="4" t="inlineStr">
        <is>
          <t>♥K</t>
        </is>
      </c>
      <c r="G67" s="4" t="inlineStr">
        <is>
          <t>♦K</t>
        </is>
      </c>
      <c r="H67" s="4" t="inlineStr">
        <is>
          <t>♥10</t>
        </is>
      </c>
      <c r="I67" s="4" t="inlineStr">
        <is>
          <t>玩1</t>
        </is>
      </c>
      <c r="J67" s="4" t="n">
        <v>30</v>
      </c>
      <c r="K67" s="4" t="inlineStr">
        <is>
          <t>庄家方</t>
        </is>
      </c>
    </row>
    <row r="68">
      <c r="A68" s="4" t="n">
        <v>7</v>
      </c>
      <c r="B68" s="4" t="n">
        <v>9</v>
      </c>
      <c r="C68" s="4" t="inlineStr">
        <is>
          <t>单张</t>
        </is>
      </c>
      <c r="D68" s="4" t="inlineStr">
        <is>
          <t>玩1</t>
        </is>
      </c>
      <c r="E68" s="4" t="inlineStr">
        <is>
          <t>无</t>
        </is>
      </c>
      <c r="F68" s="4" t="inlineStr">
        <is>
          <t>无</t>
        </is>
      </c>
      <c r="G68" s="4" t="inlineStr">
        <is>
          <t>♠K</t>
        </is>
      </c>
      <c r="H68" s="4" t="inlineStr">
        <is>
          <t>无</t>
        </is>
      </c>
      <c r="I68" s="4" t="inlineStr">
        <is>
          <t>玩3</t>
        </is>
      </c>
      <c r="J68" s="4" t="n">
        <v>10</v>
      </c>
      <c r="K68" s="4" t="inlineStr">
        <is>
          <t>庄家方</t>
        </is>
      </c>
    </row>
    <row r="69">
      <c r="A69" s="4" t="n">
        <v>8</v>
      </c>
      <c r="B69" s="4" t="n">
        <v>1</v>
      </c>
      <c r="C69" s="4" t="inlineStr">
        <is>
          <t>对子</t>
        </is>
      </c>
      <c r="D69" s="4" t="inlineStr">
        <is>
          <t>玩4</t>
        </is>
      </c>
      <c r="E69" s="4" t="inlineStr">
        <is>
          <t>♠6 ♠7</t>
        </is>
      </c>
      <c r="F69" s="4" t="inlineStr">
        <is>
          <t>♠3 ♠9</t>
        </is>
      </c>
      <c r="G69" s="4" t="inlineStr">
        <is>
          <t>♠4 ♠5</t>
        </is>
      </c>
      <c r="H69" s="4" t="inlineStr">
        <is>
          <t>♠Q ♥Q</t>
        </is>
      </c>
      <c r="I69" s="4" t="inlineStr">
        <is>
          <t>玩4</t>
        </is>
      </c>
      <c r="J69" s="4" t="n">
        <v>5</v>
      </c>
      <c r="K69" s="4" t="inlineStr">
        <is>
          <t>庄家方</t>
        </is>
      </c>
    </row>
    <row r="70">
      <c r="A70" s="4" t="n">
        <v>8</v>
      </c>
      <c r="B70" s="4" t="n">
        <v>2</v>
      </c>
      <c r="C70" s="4" t="inlineStr">
        <is>
          <t>对子</t>
        </is>
      </c>
      <c r="D70" s="4" t="inlineStr">
        <is>
          <t>玩4</t>
        </is>
      </c>
      <c r="E70" s="4" t="inlineStr">
        <is>
          <t>♠8 ♠10</t>
        </is>
      </c>
      <c r="F70" s="4" t="inlineStr">
        <is>
          <t>♣2 ♥2</t>
        </is>
      </c>
      <c r="G70" s="4" t="inlineStr">
        <is>
          <t>小王</t>
        </is>
      </c>
      <c r="H70" s="4" t="inlineStr">
        <is>
          <t>♠A ♦A</t>
        </is>
      </c>
      <c r="I70" s="4" t="inlineStr">
        <is>
          <t>玩3</t>
        </is>
      </c>
      <c r="J70" s="4" t="n">
        <v>10</v>
      </c>
      <c r="K70" s="4" t="inlineStr">
        <is>
          <t>抓分方</t>
        </is>
      </c>
    </row>
    <row r="71">
      <c r="A71" s="4" t="n">
        <v>8</v>
      </c>
      <c r="B71" s="4" t="n">
        <v>3</v>
      </c>
      <c r="C71" s="4" t="inlineStr">
        <is>
          <t>单张</t>
        </is>
      </c>
      <c r="D71" s="4" t="inlineStr">
        <is>
          <t>玩3</t>
        </is>
      </c>
      <c r="E71" s="4" t="inlineStr">
        <is>
          <t>♦3</t>
        </is>
      </c>
      <c r="F71" s="4" t="inlineStr">
        <is>
          <t>♦2</t>
        </is>
      </c>
      <c r="G71" s="4" t="inlineStr">
        <is>
          <t>♦6</t>
        </is>
      </c>
      <c r="H71" s="4" t="inlineStr">
        <is>
          <t>♦J</t>
        </is>
      </c>
      <c r="I71" s="4" t="inlineStr">
        <is>
          <t>玩2</t>
        </is>
      </c>
      <c r="J71" s="4" t="n">
        <v>0</v>
      </c>
      <c r="K71" s="4" t="inlineStr">
        <is>
          <t>庄家方</t>
        </is>
      </c>
    </row>
    <row r="72">
      <c r="A72" s="4" t="n">
        <v>8</v>
      </c>
      <c r="B72" s="4" t="n">
        <v>4</v>
      </c>
      <c r="C72" s="4" t="inlineStr">
        <is>
          <t>单张</t>
        </is>
      </c>
      <c r="D72" s="4" t="inlineStr">
        <is>
          <t>玩2</t>
        </is>
      </c>
      <c r="E72" s="4" t="inlineStr">
        <is>
          <t>♦7</t>
        </is>
      </c>
      <c r="F72" s="4" t="inlineStr">
        <is>
          <t>♦4</t>
        </is>
      </c>
      <c r="G72" s="4" t="inlineStr">
        <is>
          <t>♦10</t>
        </is>
      </c>
      <c r="H72" s="4" t="inlineStr">
        <is>
          <t>♦5</t>
        </is>
      </c>
      <c r="I72" s="4" t="inlineStr">
        <is>
          <t>玩3</t>
        </is>
      </c>
      <c r="J72" s="4" t="n">
        <v>15</v>
      </c>
      <c r="K72" s="4" t="inlineStr">
        <is>
          <t>抓分方</t>
        </is>
      </c>
    </row>
    <row r="73">
      <c r="A73" s="4" t="n">
        <v>8</v>
      </c>
      <c r="B73" s="4" t="n">
        <v>5</v>
      </c>
      <c r="C73" s="4" t="inlineStr">
        <is>
          <t>单张</t>
        </is>
      </c>
      <c r="D73" s="4" t="inlineStr">
        <is>
          <t>玩3</t>
        </is>
      </c>
      <c r="E73" s="4" t="inlineStr">
        <is>
          <t>♥6</t>
        </is>
      </c>
      <c r="F73" s="4" t="inlineStr">
        <is>
          <t>♥A</t>
        </is>
      </c>
      <c r="G73" s="4" t="inlineStr">
        <is>
          <t>♥7</t>
        </is>
      </c>
      <c r="H73" s="4" t="inlineStr">
        <is>
          <t>♥3</t>
        </is>
      </c>
      <c r="I73" s="4" t="inlineStr">
        <is>
          <t>玩4</t>
        </is>
      </c>
      <c r="J73" s="4" t="n">
        <v>0</v>
      </c>
      <c r="K73" s="4" t="inlineStr">
        <is>
          <t>庄家方</t>
        </is>
      </c>
    </row>
    <row r="74">
      <c r="A74" s="4" t="n">
        <v>8</v>
      </c>
      <c r="B74" s="4" t="n">
        <v>6</v>
      </c>
      <c r="C74" s="4" t="inlineStr">
        <is>
          <t>单张</t>
        </is>
      </c>
      <c r="D74" s="4" t="inlineStr">
        <is>
          <t>玩4</t>
        </is>
      </c>
      <c r="E74" s="4" t="inlineStr">
        <is>
          <t>♣4</t>
        </is>
      </c>
      <c r="F74" s="4" t="inlineStr">
        <is>
          <t>♣9</t>
        </is>
      </c>
      <c r="G74" s="4" t="inlineStr">
        <is>
          <t>♣Q</t>
        </is>
      </c>
      <c r="H74" s="4" t="inlineStr">
        <is>
          <t>♣7</t>
        </is>
      </c>
      <c r="I74" s="4" t="inlineStr">
        <is>
          <t>玩3</t>
        </is>
      </c>
      <c r="J74" s="4" t="n">
        <v>0</v>
      </c>
      <c r="K74" s="4" t="inlineStr">
        <is>
          <t>抓分方</t>
        </is>
      </c>
    </row>
    <row r="75">
      <c r="A75" s="4" t="n">
        <v>8</v>
      </c>
      <c r="B75" s="4" t="n">
        <v>7</v>
      </c>
      <c r="C75" s="4" t="inlineStr">
        <is>
          <t>单张</t>
        </is>
      </c>
      <c r="D75" s="4" t="inlineStr">
        <is>
          <t>玩3</t>
        </is>
      </c>
      <c r="E75" s="4" t="inlineStr">
        <is>
          <t>♥10</t>
        </is>
      </c>
      <c r="F75" s="4" t="inlineStr">
        <is>
          <t>♥K</t>
        </is>
      </c>
      <c r="G75" s="4" t="inlineStr">
        <is>
          <t>♥8</t>
        </is>
      </c>
      <c r="H75" s="4" t="inlineStr">
        <is>
          <t>♥5</t>
        </is>
      </c>
      <c r="I75" s="4" t="inlineStr">
        <is>
          <t>玩2</t>
        </is>
      </c>
      <c r="J75" s="4" t="n">
        <v>25</v>
      </c>
      <c r="K75" s="4" t="inlineStr">
        <is>
          <t>庄家方</t>
        </is>
      </c>
    </row>
    <row r="76">
      <c r="A76" s="4" t="n">
        <v>8</v>
      </c>
      <c r="B76" s="4" t="n">
        <v>8</v>
      </c>
      <c r="C76" s="4" t="inlineStr">
        <is>
          <t>单张</t>
        </is>
      </c>
      <c r="D76" s="4" t="inlineStr">
        <is>
          <t>玩2</t>
        </is>
      </c>
      <c r="E76" s="4" t="inlineStr">
        <is>
          <t>♣A</t>
        </is>
      </c>
      <c r="F76" s="4" t="inlineStr">
        <is>
          <t>♣J</t>
        </is>
      </c>
      <c r="G76" s="4" t="inlineStr">
        <is>
          <t>♥9</t>
        </is>
      </c>
      <c r="H76" s="4" t="inlineStr">
        <is>
          <t>♣5</t>
        </is>
      </c>
      <c r="I76" s="4" t="inlineStr">
        <is>
          <t>玩1</t>
        </is>
      </c>
      <c r="J76" s="4" t="n">
        <v>5</v>
      </c>
      <c r="K76" s="4" t="inlineStr">
        <is>
          <t>抓分方</t>
        </is>
      </c>
    </row>
    <row r="77">
      <c r="A77" s="4" t="n">
        <v>8</v>
      </c>
      <c r="B77" s="4" t="n">
        <v>9</v>
      </c>
      <c r="C77" s="4" t="inlineStr">
        <is>
          <t>单张</t>
        </is>
      </c>
      <c r="D77" s="4" t="inlineStr">
        <is>
          <t>玩1</t>
        </is>
      </c>
      <c r="E77" s="4" t="inlineStr">
        <is>
          <t>♦8</t>
        </is>
      </c>
      <c r="F77" s="4" t="inlineStr">
        <is>
          <t>♦Q</t>
        </is>
      </c>
      <c r="G77" s="4" t="inlineStr">
        <is>
          <t>♦K</t>
        </is>
      </c>
      <c r="H77" s="4" t="inlineStr">
        <is>
          <t>♠2</t>
        </is>
      </c>
      <c r="I77" s="4" t="inlineStr">
        <is>
          <t>玩4</t>
        </is>
      </c>
      <c r="J77" s="4" t="n">
        <v>10</v>
      </c>
      <c r="K77" s="4" t="inlineStr">
        <is>
          <t>庄家方</t>
        </is>
      </c>
    </row>
    <row r="78">
      <c r="A78" s="4" t="n">
        <v>8</v>
      </c>
      <c r="B78" s="4" t="n">
        <v>10</v>
      </c>
      <c r="C78" s="4" t="inlineStr">
        <is>
          <t>单张</t>
        </is>
      </c>
      <c r="D78" s="4" t="inlineStr">
        <is>
          <t>玩4</t>
        </is>
      </c>
      <c r="E78" s="4" t="inlineStr">
        <is>
          <t>♠J</t>
        </is>
      </c>
      <c r="F78" s="4" t="inlineStr">
        <is>
          <t>♣K</t>
        </is>
      </c>
      <c r="G78" s="4" t="inlineStr">
        <is>
          <t>♥J</t>
        </is>
      </c>
      <c r="H78" s="4" t="inlineStr">
        <is>
          <t>♣10</t>
        </is>
      </c>
      <c r="I78" s="4" t="inlineStr">
        <is>
          <t>玩2</t>
        </is>
      </c>
      <c r="J78" s="4" t="n">
        <v>20</v>
      </c>
      <c r="K78" s="4" t="inlineStr">
        <is>
          <t>庄家方</t>
        </is>
      </c>
    </row>
    <row r="79">
      <c r="A79" s="4" t="n">
        <v>8</v>
      </c>
      <c r="B79" s="4" t="n">
        <v>11</v>
      </c>
      <c r="C79" s="4" t="inlineStr">
        <is>
          <t>单张</t>
        </is>
      </c>
      <c r="D79" s="4" t="inlineStr">
        <is>
          <t>玩2</t>
        </is>
      </c>
      <c r="E79" s="4" t="inlineStr">
        <is>
          <t>无</t>
        </is>
      </c>
      <c r="F79" s="4" t="inlineStr">
        <is>
          <t>无</t>
        </is>
      </c>
      <c r="G79" s="4" t="inlineStr">
        <is>
          <t>♠K</t>
        </is>
      </c>
      <c r="H79" s="4" t="inlineStr">
        <is>
          <t>无</t>
        </is>
      </c>
      <c r="I79" s="4" t="inlineStr">
        <is>
          <t>玩3</t>
        </is>
      </c>
      <c r="J79" s="4" t="n">
        <v>10</v>
      </c>
      <c r="K79" s="4" t="inlineStr">
        <is>
          <t>抓分方</t>
        </is>
      </c>
    </row>
    <row r="80">
      <c r="A80" s="4" t="n">
        <v>9</v>
      </c>
      <c r="B80" s="4" t="n">
        <v>1</v>
      </c>
      <c r="C80" s="4" t="inlineStr">
        <is>
          <t>对子</t>
        </is>
      </c>
      <c r="D80" s="4" t="inlineStr">
        <is>
          <t>玩1</t>
        </is>
      </c>
      <c r="E80" s="4" t="inlineStr">
        <is>
          <t>♦2 ♠2</t>
        </is>
      </c>
      <c r="F80" s="4" t="inlineStr">
        <is>
          <t>♦5 ♦7</t>
        </is>
      </c>
      <c r="G80" s="4" t="inlineStr">
        <is>
          <t>♦4 ♦6</t>
        </is>
      </c>
      <c r="H80" s="4" t="inlineStr">
        <is>
          <t>♦3 ♦10</t>
        </is>
      </c>
      <c r="I80" s="4" t="inlineStr">
        <is>
          <t>玩1</t>
        </is>
      </c>
      <c r="J80" s="4" t="n">
        <v>15</v>
      </c>
      <c r="K80" s="4" t="inlineStr">
        <is>
          <t>庄家方</t>
        </is>
      </c>
    </row>
    <row r="81">
      <c r="A81" s="4" t="n">
        <v>9</v>
      </c>
      <c r="B81" s="4" t="n">
        <v>2</v>
      </c>
      <c r="C81" s="4" t="inlineStr">
        <is>
          <t>单张</t>
        </is>
      </c>
      <c r="D81" s="4" t="inlineStr">
        <is>
          <t>玩1</t>
        </is>
      </c>
      <c r="E81" s="4" t="inlineStr">
        <is>
          <t>♠4</t>
        </is>
      </c>
      <c r="F81" s="4" t="inlineStr">
        <is>
          <t>♠8</t>
        </is>
      </c>
      <c r="G81" s="4" t="inlineStr">
        <is>
          <t>♠7</t>
        </is>
      </c>
      <c r="H81" s="4" t="inlineStr">
        <is>
          <t>♠3</t>
        </is>
      </c>
      <c r="I81" s="4" t="inlineStr">
        <is>
          <t>玩2</t>
        </is>
      </c>
      <c r="J81" s="4" t="n">
        <v>0</v>
      </c>
      <c r="K81" s="4" t="inlineStr">
        <is>
          <t>抓分方</t>
        </is>
      </c>
    </row>
    <row r="82">
      <c r="A82" s="4" t="n">
        <v>9</v>
      </c>
      <c r="B82" s="4" t="n">
        <v>3</v>
      </c>
      <c r="C82" s="4" t="inlineStr">
        <is>
          <t>对子</t>
        </is>
      </c>
      <c r="D82" s="4" t="inlineStr">
        <is>
          <t>玩2</t>
        </is>
      </c>
      <c r="E82" s="4" t="inlineStr">
        <is>
          <t>♣2 ♣5</t>
        </is>
      </c>
      <c r="F82" s="4" t="inlineStr">
        <is>
          <t>♣A ♦A</t>
        </is>
      </c>
      <c r="G82" s="4" t="inlineStr">
        <is>
          <t>♣7 ♣K</t>
        </is>
      </c>
      <c r="H82" s="4" t="inlineStr">
        <is>
          <t>♣6 ♣10</t>
        </is>
      </c>
      <c r="I82" s="4" t="inlineStr">
        <is>
          <t>玩1</t>
        </is>
      </c>
      <c r="J82" s="4" t="n">
        <v>25</v>
      </c>
      <c r="K82" s="4" t="inlineStr">
        <is>
          <t>庄家方</t>
        </is>
      </c>
    </row>
    <row r="83">
      <c r="A83" s="4" t="n">
        <v>9</v>
      </c>
      <c r="B83" s="4" t="n">
        <v>4</v>
      </c>
      <c r="C83" s="4" t="inlineStr">
        <is>
          <t>单张</t>
        </is>
      </c>
      <c r="D83" s="4" t="inlineStr">
        <is>
          <t>玩1</t>
        </is>
      </c>
      <c r="E83" s="4" t="inlineStr">
        <is>
          <t>♥8</t>
        </is>
      </c>
      <c r="F83" s="4" t="inlineStr">
        <is>
          <t>♥7</t>
        </is>
      </c>
      <c r="G83" s="4" t="inlineStr">
        <is>
          <t>♥6</t>
        </is>
      </c>
      <c r="H83" s="4" t="inlineStr">
        <is>
          <t>♥3</t>
        </is>
      </c>
      <c r="I83" s="4" t="inlineStr">
        <is>
          <t>玩4</t>
        </is>
      </c>
      <c r="J83" s="4" t="n">
        <v>0</v>
      </c>
      <c r="K83" s="4" t="inlineStr">
        <is>
          <t>抓分方</t>
        </is>
      </c>
    </row>
    <row r="84">
      <c r="A84" s="4" t="n">
        <v>9</v>
      </c>
      <c r="B84" s="4" t="n">
        <v>5</v>
      </c>
      <c r="C84" s="4" t="inlineStr">
        <is>
          <t>对子</t>
        </is>
      </c>
      <c r="D84" s="4" t="inlineStr">
        <is>
          <t>玩4</t>
        </is>
      </c>
      <c r="E84" s="4" t="inlineStr">
        <is>
          <t>♥5 ♥9</t>
        </is>
      </c>
      <c r="F84" s="4" t="inlineStr">
        <is>
          <t>♣3 ♣4</t>
        </is>
      </c>
      <c r="G84" s="4" t="inlineStr">
        <is>
          <t>♠9 ♥10</t>
        </is>
      </c>
      <c r="H84" s="4" t="inlineStr">
        <is>
          <t>♣Q ♠Q</t>
        </is>
      </c>
      <c r="I84" s="4" t="inlineStr">
        <is>
          <t>玩4</t>
        </is>
      </c>
      <c r="J84" s="4" t="n">
        <v>15</v>
      </c>
      <c r="K84" s="4" t="inlineStr">
        <is>
          <t>抓分方</t>
        </is>
      </c>
    </row>
    <row r="85">
      <c r="A85" s="4" t="n">
        <v>9</v>
      </c>
      <c r="B85" s="4" t="n">
        <v>6</v>
      </c>
      <c r="C85" s="4" t="inlineStr">
        <is>
          <t>单张</t>
        </is>
      </c>
      <c r="D85" s="4" t="inlineStr">
        <is>
          <t>玩4</t>
        </is>
      </c>
      <c r="E85" s="4" t="inlineStr">
        <is>
          <t>♥Q</t>
        </is>
      </c>
      <c r="F85" s="4" t="inlineStr">
        <is>
          <t>♣8</t>
        </is>
      </c>
      <c r="G85" s="4" t="inlineStr">
        <is>
          <t>♠10</t>
        </is>
      </c>
      <c r="H85" s="4" t="inlineStr">
        <is>
          <t>♥J</t>
        </is>
      </c>
      <c r="I85" s="4" t="inlineStr">
        <is>
          <t>玩1</t>
        </is>
      </c>
      <c r="J85" s="4" t="n">
        <v>10</v>
      </c>
      <c r="K85" s="4" t="inlineStr">
        <is>
          <t>庄家方</t>
        </is>
      </c>
    </row>
    <row r="86">
      <c r="A86" s="4" t="n">
        <v>9</v>
      </c>
      <c r="B86" s="4" t="n">
        <v>7</v>
      </c>
      <c r="C86" s="4" t="inlineStr">
        <is>
          <t>单张</t>
        </is>
      </c>
      <c r="D86" s="4" t="inlineStr">
        <is>
          <t>玩1</t>
        </is>
      </c>
      <c r="E86" s="4" t="inlineStr">
        <is>
          <t>♠J</t>
        </is>
      </c>
      <c r="F86" s="4" t="inlineStr">
        <is>
          <t>♣9</t>
        </is>
      </c>
      <c r="G86" s="4" t="inlineStr">
        <is>
          <t>♠A</t>
        </is>
      </c>
      <c r="H86" s="4" t="inlineStr">
        <is>
          <t>♠5</t>
        </is>
      </c>
      <c r="I86" s="4" t="inlineStr">
        <is>
          <t>玩3</t>
        </is>
      </c>
      <c r="J86" s="4" t="n">
        <v>5</v>
      </c>
      <c r="K86" s="4" t="inlineStr">
        <is>
          <t>庄家方</t>
        </is>
      </c>
    </row>
    <row r="87">
      <c r="A87" s="4" t="n">
        <v>9</v>
      </c>
      <c r="B87" s="4" t="n">
        <v>8</v>
      </c>
      <c r="C87" s="4" t="inlineStr">
        <is>
          <t>单张</t>
        </is>
      </c>
      <c r="D87" s="4" t="inlineStr">
        <is>
          <t>玩3</t>
        </is>
      </c>
      <c r="E87" s="4" t="inlineStr">
        <is>
          <t>大王</t>
        </is>
      </c>
      <c r="F87" s="4" t="inlineStr">
        <is>
          <t>♣J</t>
        </is>
      </c>
      <c r="G87" s="4" t="inlineStr">
        <is>
          <t>♦Q</t>
        </is>
      </c>
      <c r="H87" s="4" t="inlineStr">
        <is>
          <t>♥K</t>
        </is>
      </c>
      <c r="I87" s="4" t="inlineStr">
        <is>
          <t>玩1</t>
        </is>
      </c>
      <c r="J87" s="4" t="n">
        <v>10</v>
      </c>
      <c r="K87" s="4" t="inlineStr">
        <is>
          <t>庄家方</t>
        </is>
      </c>
    </row>
    <row r="88">
      <c r="A88" s="4" t="n">
        <v>9</v>
      </c>
      <c r="B88" s="4" t="n">
        <v>9</v>
      </c>
      <c r="C88" s="4" t="inlineStr">
        <is>
          <t>单张</t>
        </is>
      </c>
      <c r="D88" s="4" t="inlineStr">
        <is>
          <t>玩1</t>
        </is>
      </c>
      <c r="E88" s="4" t="inlineStr">
        <is>
          <t>♠K</t>
        </is>
      </c>
      <c r="F88" s="4" t="inlineStr">
        <is>
          <t>小王</t>
        </is>
      </c>
      <c r="G88" s="4" t="inlineStr">
        <is>
          <t>♦K</t>
        </is>
      </c>
      <c r="H88" s="4" t="inlineStr">
        <is>
          <t>♥A</t>
        </is>
      </c>
      <c r="I88" s="4" t="inlineStr">
        <is>
          <t>玩2</t>
        </is>
      </c>
      <c r="J88" s="4" t="n">
        <v>20</v>
      </c>
      <c r="K88" s="4" t="inlineStr">
        <is>
          <t>抓分方</t>
        </is>
      </c>
    </row>
    <row r="89">
      <c r="A89" s="4" t="n">
        <v>10</v>
      </c>
      <c r="B89" s="4" t="n">
        <v>1</v>
      </c>
      <c r="C89" s="4" t="inlineStr">
        <is>
          <t>对子</t>
        </is>
      </c>
      <c r="D89" s="4" t="inlineStr">
        <is>
          <t>玩2</t>
        </is>
      </c>
      <c r="E89" s="4" t="inlineStr">
        <is>
          <t>♦3 ♦A</t>
        </is>
      </c>
      <c r="F89" s="4" t="inlineStr">
        <is>
          <t>♦J ♥J</t>
        </is>
      </c>
      <c r="G89" s="4" t="inlineStr">
        <is>
          <t>♦2 ♦4</t>
        </is>
      </c>
      <c r="H89" s="4" t="inlineStr">
        <is>
          <t>♦6 ♦10</t>
        </is>
      </c>
      <c r="I89" s="4" t="inlineStr">
        <is>
          <t>玩3</t>
        </is>
      </c>
      <c r="J89" s="4" t="n">
        <v>10</v>
      </c>
      <c r="K89" s="4" t="inlineStr">
        <is>
          <t>抓分方</t>
        </is>
      </c>
    </row>
    <row r="90">
      <c r="A90" s="4" t="n">
        <v>10</v>
      </c>
      <c r="B90" s="4" t="n">
        <v>2</v>
      </c>
      <c r="C90" s="4" t="inlineStr">
        <is>
          <t>单张</t>
        </is>
      </c>
      <c r="D90" s="4" t="inlineStr">
        <is>
          <t>玩3</t>
        </is>
      </c>
      <c r="E90" s="4" t="inlineStr">
        <is>
          <t>♠9</t>
        </is>
      </c>
      <c r="F90" s="4" t="inlineStr">
        <is>
          <t>♠2</t>
        </is>
      </c>
      <c r="G90" s="4" t="inlineStr">
        <is>
          <t>♠3</t>
        </is>
      </c>
      <c r="H90" s="4" t="inlineStr">
        <is>
          <t>♠4</t>
        </is>
      </c>
      <c r="I90" s="4" t="inlineStr">
        <is>
          <t>玩2</t>
        </is>
      </c>
      <c r="J90" s="4" t="n">
        <v>0</v>
      </c>
      <c r="K90" s="4" t="inlineStr">
        <is>
          <t>庄家方</t>
        </is>
      </c>
    </row>
    <row r="91">
      <c r="A91" s="4" t="n">
        <v>10</v>
      </c>
      <c r="B91" s="4" t="n">
        <v>3</v>
      </c>
      <c r="C91" s="4" t="inlineStr">
        <is>
          <t>对子</t>
        </is>
      </c>
      <c r="D91" s="4" t="inlineStr">
        <is>
          <t>玩2</t>
        </is>
      </c>
      <c r="E91" s="4" t="inlineStr">
        <is>
          <t>♣3 ♣8</t>
        </is>
      </c>
      <c r="F91" s="4" t="inlineStr">
        <is>
          <t>♣7 ♦7</t>
        </is>
      </c>
      <c r="G91" s="4" t="inlineStr">
        <is>
          <t>♣2 ♣6</t>
        </is>
      </c>
      <c r="H91" s="4" t="inlineStr">
        <is>
          <t>♣5 ♣Q</t>
        </is>
      </c>
      <c r="I91" s="4" t="inlineStr">
        <is>
          <t>玩3</t>
        </is>
      </c>
      <c r="J91" s="4" t="n">
        <v>5</v>
      </c>
      <c r="K91" s="4" t="inlineStr">
        <is>
          <t>抓分方</t>
        </is>
      </c>
    </row>
    <row r="92">
      <c r="A92" s="4" t="n">
        <v>10</v>
      </c>
      <c r="B92" s="4" t="n">
        <v>4</v>
      </c>
      <c r="C92" s="4" t="inlineStr">
        <is>
          <t>单张</t>
        </is>
      </c>
      <c r="D92" s="4" t="inlineStr">
        <is>
          <t>玩3</t>
        </is>
      </c>
      <c r="E92" s="4" t="inlineStr">
        <is>
          <t>♠Q</t>
        </is>
      </c>
      <c r="F92" s="4" t="inlineStr">
        <is>
          <t>♥10</t>
        </is>
      </c>
      <c r="G92" s="4" t="inlineStr">
        <is>
          <t>♠7</t>
        </is>
      </c>
      <c r="H92" s="4" t="inlineStr">
        <is>
          <t>♠8</t>
        </is>
      </c>
      <c r="I92" s="4" t="inlineStr">
        <is>
          <t>玩1</t>
        </is>
      </c>
      <c r="J92" s="4" t="n">
        <v>10</v>
      </c>
      <c r="K92" s="4" t="inlineStr">
        <is>
          <t>抓分方</t>
        </is>
      </c>
    </row>
    <row r="93">
      <c r="A93" s="4" t="n">
        <v>10</v>
      </c>
      <c r="B93" s="4" t="n">
        <v>5</v>
      </c>
      <c r="C93" s="4" t="inlineStr">
        <is>
          <t>单张</t>
        </is>
      </c>
      <c r="D93" s="4" t="inlineStr">
        <is>
          <t>玩1</t>
        </is>
      </c>
      <c r="E93" s="4" t="inlineStr">
        <is>
          <t>♥4</t>
        </is>
      </c>
      <c r="F93" s="4" t="inlineStr">
        <is>
          <t>♥2</t>
        </is>
      </c>
      <c r="G93" s="4" t="inlineStr">
        <is>
          <t>♥8</t>
        </is>
      </c>
      <c r="H93" s="4" t="inlineStr">
        <is>
          <t>♥9</t>
        </is>
      </c>
      <c r="I93" s="4" t="inlineStr">
        <is>
          <t>玩2</t>
        </is>
      </c>
      <c r="J93" s="4" t="n">
        <v>0</v>
      </c>
      <c r="K93" s="4" t="inlineStr">
        <is>
          <t>庄家方</t>
        </is>
      </c>
    </row>
    <row r="94">
      <c r="A94" s="4" t="n">
        <v>10</v>
      </c>
      <c r="B94" s="4" t="n">
        <v>6</v>
      </c>
      <c r="C94" s="4" t="inlineStr">
        <is>
          <t>单张</t>
        </is>
      </c>
      <c r="D94" s="4" t="inlineStr">
        <is>
          <t>玩2</t>
        </is>
      </c>
      <c r="E94" s="4" t="inlineStr">
        <is>
          <t>♥3</t>
        </is>
      </c>
      <c r="F94" s="4" t="inlineStr">
        <is>
          <t>♥Q</t>
        </is>
      </c>
      <c r="G94" s="4" t="inlineStr">
        <is>
          <t>♥A</t>
        </is>
      </c>
      <c r="H94" s="4" t="inlineStr">
        <is>
          <t>♥5</t>
        </is>
      </c>
      <c r="I94" s="4" t="inlineStr">
        <is>
          <t>玩1</t>
        </is>
      </c>
      <c r="J94" s="4" t="n">
        <v>5</v>
      </c>
      <c r="K94" s="4" t="inlineStr">
        <is>
          <t>抓分方</t>
        </is>
      </c>
    </row>
    <row r="95">
      <c r="A95" s="4" t="n">
        <v>10</v>
      </c>
      <c r="B95" s="4" t="n">
        <v>7</v>
      </c>
      <c r="C95" s="4" t="inlineStr">
        <is>
          <t>单张</t>
        </is>
      </c>
      <c r="D95" s="4" t="inlineStr">
        <is>
          <t>玩1</t>
        </is>
      </c>
      <c r="E95" s="4" t="inlineStr">
        <is>
          <t>♣9</t>
        </is>
      </c>
      <c r="F95" s="4" t="inlineStr">
        <is>
          <t>♣A</t>
        </is>
      </c>
      <c r="G95" s="4" t="inlineStr">
        <is>
          <t>♣J</t>
        </is>
      </c>
      <c r="H95" s="4" t="inlineStr">
        <is>
          <t>♣K</t>
        </is>
      </c>
      <c r="I95" s="4" t="inlineStr">
        <is>
          <t>玩2</t>
        </is>
      </c>
      <c r="J95" s="4" t="n">
        <v>10</v>
      </c>
      <c r="K95" s="4" t="inlineStr">
        <is>
          <t>庄家方</t>
        </is>
      </c>
    </row>
    <row r="96">
      <c r="A96" s="4" t="n">
        <v>10</v>
      </c>
      <c r="B96" s="4" t="n">
        <v>8</v>
      </c>
      <c r="C96" s="4" t="inlineStr">
        <is>
          <t>单张</t>
        </is>
      </c>
      <c r="D96" s="4" t="inlineStr">
        <is>
          <t>玩2</t>
        </is>
      </c>
      <c r="E96" s="4" t="inlineStr">
        <is>
          <t>小王</t>
        </is>
      </c>
      <c r="F96" s="4" t="inlineStr">
        <is>
          <t>大王</t>
        </is>
      </c>
      <c r="G96" s="4" t="inlineStr">
        <is>
          <t>♦5</t>
        </is>
      </c>
      <c r="H96" s="4" t="inlineStr">
        <is>
          <t>♠10</t>
        </is>
      </c>
      <c r="I96" s="4" t="inlineStr">
        <is>
          <t>玩2</t>
        </is>
      </c>
      <c r="J96" s="4" t="n">
        <v>15</v>
      </c>
      <c r="K96" s="4" t="inlineStr">
        <is>
          <t>庄家方</t>
        </is>
      </c>
    </row>
    <row r="97">
      <c r="A97" s="4" t="n">
        <v>10</v>
      </c>
      <c r="B97" s="4" t="n">
        <v>9</v>
      </c>
      <c r="C97" s="4" t="inlineStr">
        <is>
          <t>单张</t>
        </is>
      </c>
      <c r="D97" s="4" t="inlineStr">
        <is>
          <t>玩2</t>
        </is>
      </c>
      <c r="E97" s="4" t="inlineStr">
        <is>
          <t>♠5</t>
        </is>
      </c>
      <c r="F97" s="4" t="inlineStr">
        <is>
          <t>♣10</t>
        </is>
      </c>
      <c r="G97" s="4" t="inlineStr">
        <is>
          <t>♦9</t>
        </is>
      </c>
      <c r="H97" s="4" t="inlineStr">
        <is>
          <t>♠K</t>
        </is>
      </c>
      <c r="I97" s="4" t="inlineStr">
        <is>
          <t>玩2</t>
        </is>
      </c>
      <c r="J97" s="4" t="n">
        <v>25</v>
      </c>
      <c r="K97" s="4" t="inlineStr">
        <is>
          <t>庄家方</t>
        </is>
      </c>
    </row>
    <row r="98">
      <c r="A98" s="4" t="n">
        <v>10</v>
      </c>
      <c r="B98" s="4" t="n">
        <v>10</v>
      </c>
      <c r="C98" s="4" t="inlineStr">
        <is>
          <t>单张</t>
        </is>
      </c>
      <c r="D98" s="4" t="inlineStr">
        <is>
          <t>玩2</t>
        </is>
      </c>
      <c r="E98" s="4" t="inlineStr">
        <is>
          <t>♥K</t>
        </is>
      </c>
      <c r="F98" s="4" t="inlineStr">
        <is>
          <t>♦K</t>
        </is>
      </c>
      <c r="G98" s="4" t="inlineStr">
        <is>
          <t>♦Q</t>
        </is>
      </c>
      <c r="H98" s="4" t="inlineStr">
        <is>
          <t>♠A</t>
        </is>
      </c>
      <c r="I98" s="4" t="inlineStr">
        <is>
          <t>玩2</t>
        </is>
      </c>
      <c r="J98" s="4" t="n">
        <v>20</v>
      </c>
      <c r="K98" s="4" t="inlineStr">
        <is>
          <t>庄家方</t>
        </is>
      </c>
    </row>
    <row r="99">
      <c r="A99" s="4" t="n">
        <v>11</v>
      </c>
      <c r="B99" s="4" t="n">
        <v>1</v>
      </c>
      <c r="C99" s="4" t="inlineStr">
        <is>
          <t>对子</t>
        </is>
      </c>
      <c r="D99" s="4" t="inlineStr">
        <is>
          <t>玩3</t>
        </is>
      </c>
      <c r="E99" s="4" t="inlineStr">
        <is>
          <t>♠2 ♠3</t>
        </is>
      </c>
      <c r="F99" s="4" t="inlineStr">
        <is>
          <t>♠4 ♠6</t>
        </is>
      </c>
      <c r="G99" s="4" t="inlineStr">
        <is>
          <t>♠J ♦J</t>
        </is>
      </c>
      <c r="H99" s="4" t="inlineStr">
        <is>
          <t>♠7 ♠9</t>
        </is>
      </c>
      <c r="I99" s="4" t="inlineStr">
        <is>
          <t>玩1</t>
        </is>
      </c>
      <c r="J99" s="4" t="n">
        <v>0</v>
      </c>
      <c r="K99" s="4" t="inlineStr">
        <is>
          <t>庄家方</t>
        </is>
      </c>
    </row>
    <row r="100">
      <c r="A100" s="4" t="n">
        <v>11</v>
      </c>
      <c r="B100" s="4" t="n">
        <v>2</v>
      </c>
      <c r="C100" s="4" t="inlineStr">
        <is>
          <t>对子</t>
        </is>
      </c>
      <c r="D100" s="4" t="inlineStr">
        <is>
          <t>玩1</t>
        </is>
      </c>
      <c r="E100" s="4" t="inlineStr">
        <is>
          <t>♦9 ♣9</t>
        </is>
      </c>
      <c r="F100" s="4" t="inlineStr">
        <is>
          <t>♦2 ♦5</t>
        </is>
      </c>
      <c r="G100" s="4" t="inlineStr">
        <is>
          <t>♦10 ♦A</t>
        </is>
      </c>
      <c r="H100" s="4" t="inlineStr">
        <is>
          <t>♦3 ♦Q</t>
        </is>
      </c>
      <c r="I100" s="4" t="inlineStr">
        <is>
          <t>玩2</t>
        </is>
      </c>
      <c r="J100" s="4" t="n">
        <v>15</v>
      </c>
      <c r="K100" s="4" t="inlineStr">
        <is>
          <t>抓分方</t>
        </is>
      </c>
    </row>
    <row r="101">
      <c r="A101" s="4" t="n">
        <v>11</v>
      </c>
      <c r="B101" s="4" t="n">
        <v>3</v>
      </c>
      <c r="C101" s="4" t="inlineStr">
        <is>
          <t>单张</t>
        </is>
      </c>
      <c r="D101" s="4" t="inlineStr">
        <is>
          <t>玩2</t>
        </is>
      </c>
      <c r="E101" s="4" t="inlineStr">
        <is>
          <t>♦8</t>
        </is>
      </c>
      <c r="F101" s="4" t="inlineStr">
        <is>
          <t>♦6</t>
        </is>
      </c>
      <c r="G101" s="4" t="inlineStr">
        <is>
          <t>♣4</t>
        </is>
      </c>
      <c r="H101" s="4" t="inlineStr">
        <is>
          <t>♦K</t>
        </is>
      </c>
      <c r="I101" s="4" t="inlineStr">
        <is>
          <t>玩4</t>
        </is>
      </c>
      <c r="J101" s="4" t="n">
        <v>10</v>
      </c>
      <c r="K101" s="4" t="inlineStr">
        <is>
          <t>抓分方</t>
        </is>
      </c>
    </row>
    <row r="102">
      <c r="A102" s="4" t="n">
        <v>11</v>
      </c>
      <c r="B102" s="4" t="n">
        <v>4</v>
      </c>
      <c r="C102" s="4" t="inlineStr">
        <is>
          <t>对子</t>
        </is>
      </c>
      <c r="D102" s="4" t="inlineStr">
        <is>
          <t>玩4</t>
        </is>
      </c>
      <c r="E102" s="4" t="inlineStr">
        <is>
          <t>♥6 ♥10</t>
        </is>
      </c>
      <c r="F102" s="4" t="inlineStr">
        <is>
          <t>♥2 ♥3</t>
        </is>
      </c>
      <c r="G102" s="4" t="inlineStr">
        <is>
          <t>♥4 ♥5</t>
        </is>
      </c>
      <c r="H102" s="4" t="inlineStr">
        <is>
          <t>♥J ♣J</t>
        </is>
      </c>
      <c r="I102" s="4" t="inlineStr">
        <is>
          <t>玩2</t>
        </is>
      </c>
      <c r="J102" s="4" t="n">
        <v>15</v>
      </c>
      <c r="K102" s="4" t="inlineStr">
        <is>
          <t>抓分方</t>
        </is>
      </c>
    </row>
    <row r="103">
      <c r="A103" s="4" t="n">
        <v>11</v>
      </c>
      <c r="B103" s="4" t="n">
        <v>5</v>
      </c>
      <c r="C103" s="4" t="inlineStr">
        <is>
          <t>单张</t>
        </is>
      </c>
      <c r="D103" s="4" t="inlineStr">
        <is>
          <t>玩2</t>
        </is>
      </c>
      <c r="E103" s="4" t="inlineStr">
        <is>
          <t>♠A</t>
        </is>
      </c>
      <c r="F103" s="4" t="inlineStr">
        <is>
          <t>♠8</t>
        </is>
      </c>
      <c r="G103" s="4" t="inlineStr">
        <is>
          <t>♣10</t>
        </is>
      </c>
      <c r="H103" s="4" t="inlineStr">
        <is>
          <t>♠K</t>
        </is>
      </c>
      <c r="I103" s="4" t="inlineStr">
        <is>
          <t>玩1</t>
        </is>
      </c>
      <c r="J103" s="4" t="n">
        <v>20</v>
      </c>
      <c r="K103" s="4" t="inlineStr">
        <is>
          <t>庄家方</t>
        </is>
      </c>
    </row>
    <row r="104">
      <c r="A104" s="4" t="n">
        <v>11</v>
      </c>
      <c r="B104" s="4" t="n">
        <v>6</v>
      </c>
      <c r="C104" s="4" t="inlineStr">
        <is>
          <t>单张</t>
        </is>
      </c>
      <c r="D104" s="4" t="inlineStr">
        <is>
          <t>玩1</t>
        </is>
      </c>
      <c r="E104" s="4" t="inlineStr">
        <is>
          <t>♣8</t>
        </is>
      </c>
      <c r="F104" s="4" t="inlineStr">
        <is>
          <t>♣A</t>
        </is>
      </c>
      <c r="G104" s="4" t="inlineStr">
        <is>
          <t>♣K</t>
        </is>
      </c>
      <c r="H104" s="4" t="inlineStr">
        <is>
          <t>♣2</t>
        </is>
      </c>
      <c r="I104" s="4" t="inlineStr">
        <is>
          <t>玩4</t>
        </is>
      </c>
      <c r="J104" s="4" t="n">
        <v>10</v>
      </c>
      <c r="K104" s="4" t="inlineStr">
        <is>
          <t>抓分方</t>
        </is>
      </c>
    </row>
    <row r="105">
      <c r="A105" s="4" t="n">
        <v>11</v>
      </c>
      <c r="B105" s="4" t="n">
        <v>7</v>
      </c>
      <c r="C105" s="4" t="inlineStr">
        <is>
          <t>单张</t>
        </is>
      </c>
      <c r="D105" s="4" t="inlineStr">
        <is>
          <t>玩4</t>
        </is>
      </c>
      <c r="E105" s="4" t="inlineStr">
        <is>
          <t>♣5</t>
        </is>
      </c>
      <c r="F105" s="4" t="inlineStr">
        <is>
          <t>小王</t>
        </is>
      </c>
      <c r="G105" s="4" t="inlineStr">
        <is>
          <t>♥Q</t>
        </is>
      </c>
      <c r="H105" s="4" t="inlineStr">
        <is>
          <t>♣6</t>
        </is>
      </c>
      <c r="I105" s="4" t="inlineStr">
        <is>
          <t>玩2</t>
        </is>
      </c>
      <c r="J105" s="4" t="n">
        <v>5</v>
      </c>
      <c r="K105" s="4" t="inlineStr">
        <is>
          <t>抓分方</t>
        </is>
      </c>
    </row>
    <row r="106">
      <c r="A106" s="4" t="n">
        <v>11</v>
      </c>
      <c r="B106" s="4" t="n">
        <v>8</v>
      </c>
      <c r="C106" s="4" t="inlineStr">
        <is>
          <t>单张</t>
        </is>
      </c>
      <c r="D106" s="4" t="inlineStr">
        <is>
          <t>玩2</t>
        </is>
      </c>
      <c r="E106" s="4" t="inlineStr">
        <is>
          <t>♠5</t>
        </is>
      </c>
      <c r="F106" s="4" t="inlineStr">
        <is>
          <t>♠Q</t>
        </is>
      </c>
      <c r="G106" s="4" t="inlineStr">
        <is>
          <t>♥K</t>
        </is>
      </c>
      <c r="H106" s="4" t="inlineStr">
        <is>
          <t>♣7</t>
        </is>
      </c>
      <c r="I106" s="4" t="inlineStr">
        <is>
          <t>玩2</t>
        </is>
      </c>
      <c r="J106" s="4" t="n">
        <v>15</v>
      </c>
      <c r="K106" s="4" t="inlineStr">
        <is>
          <t>抓分方</t>
        </is>
      </c>
    </row>
    <row r="107">
      <c r="A107" s="4" t="n">
        <v>11</v>
      </c>
      <c r="B107" s="4" t="n">
        <v>9</v>
      </c>
      <c r="C107" s="4" t="inlineStr">
        <is>
          <t>单张</t>
        </is>
      </c>
      <c r="D107" s="4" t="inlineStr">
        <is>
          <t>玩2</t>
        </is>
      </c>
      <c r="E107" s="4" t="inlineStr">
        <is>
          <t>♠10</t>
        </is>
      </c>
      <c r="F107" s="4" t="inlineStr">
        <is>
          <t>大王</t>
        </is>
      </c>
      <c r="G107" s="4" t="inlineStr">
        <is>
          <t>♥A</t>
        </is>
      </c>
      <c r="H107" s="4" t="inlineStr">
        <is>
          <t>♥9</t>
        </is>
      </c>
      <c r="I107" s="4" t="inlineStr">
        <is>
          <t>玩2</t>
        </is>
      </c>
      <c r="J107" s="4" t="n">
        <v>10</v>
      </c>
      <c r="K107" s="4" t="inlineStr">
        <is>
          <t>抓分方</t>
        </is>
      </c>
    </row>
    <row r="108">
      <c r="A108" s="4" t="n">
        <v>12</v>
      </c>
      <c r="B108" s="4" t="n">
        <v>1</v>
      </c>
      <c r="C108" s="4" t="inlineStr">
        <is>
          <t>对子</t>
        </is>
      </c>
      <c r="D108" s="4" t="inlineStr">
        <is>
          <t>玩4</t>
        </is>
      </c>
      <c r="E108" s="4" t="inlineStr">
        <is>
          <t>♦2 ♦7</t>
        </is>
      </c>
      <c r="F108" s="4" t="inlineStr">
        <is>
          <t>♣3 ♠4</t>
        </is>
      </c>
      <c r="G108" s="4" t="inlineStr">
        <is>
          <t>♦4 ♦5</t>
        </is>
      </c>
      <c r="H108" s="4" t="inlineStr">
        <is>
          <t>♦9 ♠9</t>
        </is>
      </c>
      <c r="I108" s="4" t="inlineStr">
        <is>
          <t>玩1</t>
        </is>
      </c>
      <c r="J108" s="4" t="n">
        <v>5</v>
      </c>
      <c r="K108" s="4" t="inlineStr">
        <is>
          <t>抓分方</t>
        </is>
      </c>
    </row>
    <row r="109">
      <c r="A109" s="4" t="n">
        <v>12</v>
      </c>
      <c r="B109" s="4" t="n">
        <v>2</v>
      </c>
      <c r="C109" s="4" t="inlineStr">
        <is>
          <t>对子</t>
        </is>
      </c>
      <c r="D109" s="4" t="inlineStr">
        <is>
          <t>玩1</t>
        </is>
      </c>
      <c r="E109" s="4" t="inlineStr">
        <is>
          <t>♥3 ♠3</t>
        </is>
      </c>
      <c r="F109" s="4" t="inlineStr">
        <is>
          <t>♥5 ♥9</t>
        </is>
      </c>
      <c r="G109" s="4" t="inlineStr">
        <is>
          <t>♣5 ♠5</t>
        </is>
      </c>
      <c r="H109" s="4" t="inlineStr">
        <is>
          <t>♥8 ♥J</t>
        </is>
      </c>
      <c r="I109" s="4" t="inlineStr">
        <is>
          <t>玩1</t>
        </is>
      </c>
      <c r="J109" s="4" t="n">
        <v>15</v>
      </c>
      <c r="K109" s="4" t="inlineStr">
        <is>
          <t>抓分方</t>
        </is>
      </c>
    </row>
    <row r="110">
      <c r="A110" s="4" t="n">
        <v>12</v>
      </c>
      <c r="B110" s="4" t="n">
        <v>3</v>
      </c>
      <c r="C110" s="4" t="inlineStr">
        <is>
          <t>单张</t>
        </is>
      </c>
      <c r="D110" s="4" t="inlineStr">
        <is>
          <t>玩1</t>
        </is>
      </c>
      <c r="E110" s="4" t="inlineStr">
        <is>
          <t>♣7</t>
        </is>
      </c>
      <c r="F110" s="4" t="inlineStr">
        <is>
          <t>♣6</t>
        </is>
      </c>
      <c r="G110" s="4" t="inlineStr">
        <is>
          <t>♣8</t>
        </is>
      </c>
      <c r="H110" s="4" t="inlineStr">
        <is>
          <t>♣2</t>
        </is>
      </c>
      <c r="I110" s="4" t="inlineStr">
        <is>
          <t>玩4</t>
        </is>
      </c>
      <c r="J110" s="4" t="n">
        <v>0</v>
      </c>
      <c r="K110" s="4" t="inlineStr">
        <is>
          <t>庄家方</t>
        </is>
      </c>
    </row>
    <row r="111">
      <c r="A111" s="4" t="n">
        <v>12</v>
      </c>
      <c r="B111" s="4" t="n">
        <v>4</v>
      </c>
      <c r="C111" s="4" t="inlineStr">
        <is>
          <t>单张</t>
        </is>
      </c>
      <c r="D111" s="4" t="inlineStr">
        <is>
          <t>玩4</t>
        </is>
      </c>
      <c r="E111" s="4" t="inlineStr">
        <is>
          <t>♣9</t>
        </is>
      </c>
      <c r="F111" s="4" t="inlineStr">
        <is>
          <t>♣J</t>
        </is>
      </c>
      <c r="G111" s="4" t="inlineStr">
        <is>
          <t>♣A</t>
        </is>
      </c>
      <c r="H111" s="4" t="inlineStr">
        <is>
          <t>♣4</t>
        </is>
      </c>
      <c r="I111" s="4" t="inlineStr">
        <is>
          <t>玩3</t>
        </is>
      </c>
      <c r="J111" s="4" t="n">
        <v>0</v>
      </c>
      <c r="K111" s="4" t="inlineStr">
        <is>
          <t>抓分方</t>
        </is>
      </c>
    </row>
    <row r="112">
      <c r="A112" s="4" t="n">
        <v>12</v>
      </c>
      <c r="B112" s="4" t="n">
        <v>5</v>
      </c>
      <c r="C112" s="4" t="inlineStr">
        <is>
          <t>单张</t>
        </is>
      </c>
      <c r="D112" s="4" t="inlineStr">
        <is>
          <t>玩3</t>
        </is>
      </c>
      <c r="E112" s="4" t="inlineStr">
        <is>
          <t>♠Q</t>
        </is>
      </c>
      <c r="F112" s="4" t="inlineStr">
        <is>
          <t>♠6</t>
        </is>
      </c>
      <c r="G112" s="4" t="inlineStr">
        <is>
          <t>♠7</t>
        </is>
      </c>
      <c r="H112" s="4" t="inlineStr">
        <is>
          <t>♠2</t>
        </is>
      </c>
      <c r="I112" s="4" t="inlineStr">
        <is>
          <t>玩4</t>
        </is>
      </c>
      <c r="J112" s="4" t="n">
        <v>0</v>
      </c>
      <c r="K112" s="4" t="inlineStr">
        <is>
          <t>庄家方</t>
        </is>
      </c>
    </row>
    <row r="113">
      <c r="A113" s="4" t="n">
        <v>12</v>
      </c>
      <c r="B113" s="4" t="n">
        <v>6</v>
      </c>
      <c r="C113" s="4" t="inlineStr">
        <is>
          <t>单张</t>
        </is>
      </c>
      <c r="D113" s="4" t="inlineStr">
        <is>
          <t>玩4</t>
        </is>
      </c>
      <c r="E113" s="4" t="inlineStr">
        <is>
          <t>♦8</t>
        </is>
      </c>
      <c r="F113" s="4" t="inlineStr">
        <is>
          <t>♦Q</t>
        </is>
      </c>
      <c r="G113" s="4" t="inlineStr">
        <is>
          <t>♦A</t>
        </is>
      </c>
      <c r="H113" s="4" t="inlineStr">
        <is>
          <t>♦J</t>
        </is>
      </c>
      <c r="I113" s="4" t="inlineStr">
        <is>
          <t>玩3</t>
        </is>
      </c>
      <c r="J113" s="4" t="n">
        <v>0</v>
      </c>
      <c r="K113" s="4" t="inlineStr">
        <is>
          <t>抓分方</t>
        </is>
      </c>
    </row>
    <row r="114">
      <c r="A114" s="4" t="n">
        <v>12</v>
      </c>
      <c r="B114" s="4" t="n">
        <v>7</v>
      </c>
      <c r="C114" s="4" t="inlineStr">
        <is>
          <t>单张</t>
        </is>
      </c>
      <c r="D114" s="4" t="inlineStr">
        <is>
          <t>玩3</t>
        </is>
      </c>
      <c r="E114" s="4" t="inlineStr">
        <is>
          <t>♠10</t>
        </is>
      </c>
      <c r="F114" s="4" t="inlineStr">
        <is>
          <t>♠J</t>
        </is>
      </c>
      <c r="G114" s="4" t="inlineStr">
        <is>
          <t>♠8</t>
        </is>
      </c>
      <c r="H114" s="4" t="inlineStr">
        <is>
          <t>♦10</t>
        </is>
      </c>
      <c r="I114" s="4" t="inlineStr">
        <is>
          <t>玩2</t>
        </is>
      </c>
      <c r="J114" s="4" t="n">
        <v>20</v>
      </c>
      <c r="K114" s="4" t="inlineStr">
        <is>
          <t>庄家方</t>
        </is>
      </c>
    </row>
    <row r="115">
      <c r="A115" s="4" t="n">
        <v>12</v>
      </c>
      <c r="B115" s="4" t="n">
        <v>8</v>
      </c>
      <c r="C115" s="4" t="inlineStr">
        <is>
          <t>单张</t>
        </is>
      </c>
      <c r="D115" s="4" t="inlineStr">
        <is>
          <t>玩2</t>
        </is>
      </c>
      <c r="E115" s="4" t="inlineStr">
        <is>
          <t>♣K</t>
        </is>
      </c>
      <c r="F115" s="4" t="inlineStr">
        <is>
          <t>♣Q</t>
        </is>
      </c>
      <c r="G115" s="4" t="inlineStr">
        <is>
          <t>♣10</t>
        </is>
      </c>
      <c r="H115" s="4" t="inlineStr">
        <is>
          <t>大王</t>
        </is>
      </c>
      <c r="I115" s="4" t="inlineStr">
        <is>
          <t>玩4</t>
        </is>
      </c>
      <c r="J115" s="4" t="n">
        <v>20</v>
      </c>
      <c r="K115" s="4" t="inlineStr">
        <is>
          <t>庄家方</t>
        </is>
      </c>
    </row>
    <row r="116">
      <c r="A116" s="4" t="n">
        <v>12</v>
      </c>
      <c r="B116" s="4" t="n">
        <v>9</v>
      </c>
      <c r="C116" s="4" t="inlineStr">
        <is>
          <t>单张</t>
        </is>
      </c>
      <c r="D116" s="4" t="inlineStr">
        <is>
          <t>玩4</t>
        </is>
      </c>
      <c r="E116" s="4" t="inlineStr">
        <is>
          <t>♥2</t>
        </is>
      </c>
      <c r="F116" s="4" t="inlineStr">
        <is>
          <t>♠K</t>
        </is>
      </c>
      <c r="G116" s="4" t="inlineStr">
        <is>
          <t>♥10</t>
        </is>
      </c>
      <c r="H116" s="4" t="inlineStr">
        <is>
          <t>♥A</t>
        </is>
      </c>
      <c r="I116" s="4" t="inlineStr">
        <is>
          <t>玩1</t>
        </is>
      </c>
      <c r="J116" s="4" t="n">
        <v>20</v>
      </c>
      <c r="K116" s="4" t="inlineStr">
        <is>
          <t>抓分方</t>
        </is>
      </c>
    </row>
    <row r="117">
      <c r="A117" s="4" t="n">
        <v>12</v>
      </c>
      <c r="B117" s="4" t="n">
        <v>10</v>
      </c>
      <c r="C117" s="4" t="inlineStr">
        <is>
          <t>单张</t>
        </is>
      </c>
      <c r="D117" s="4" t="inlineStr">
        <is>
          <t>玩1</t>
        </is>
      </c>
      <c r="E117" s="4" t="inlineStr">
        <is>
          <t>小王</t>
        </is>
      </c>
      <c r="F117" s="4" t="inlineStr">
        <is>
          <t>♠A</t>
        </is>
      </c>
      <c r="G117" s="4" t="inlineStr">
        <is>
          <t>♦K</t>
        </is>
      </c>
      <c r="H117" s="4" t="inlineStr">
        <is>
          <t>♥K</t>
        </is>
      </c>
      <c r="I117" s="4" t="inlineStr">
        <is>
          <t>玩1</t>
        </is>
      </c>
      <c r="J117" s="4" t="n">
        <v>20</v>
      </c>
      <c r="K117" s="4" t="inlineStr">
        <is>
          <t>抓分方</t>
        </is>
      </c>
    </row>
    <row r="118">
      <c r="A118" s="4" t="n">
        <v>13</v>
      </c>
      <c r="B118" s="4" t="n">
        <v>1</v>
      </c>
      <c r="C118" s="4" t="inlineStr">
        <is>
          <t>对子</t>
        </is>
      </c>
      <c r="D118" s="4" t="inlineStr">
        <is>
          <t>玩1</t>
        </is>
      </c>
      <c r="E118" s="4" t="inlineStr">
        <is>
          <t>♦Q ♥Q</t>
        </is>
      </c>
      <c r="F118" s="4" t="inlineStr">
        <is>
          <t>♦10 ♦K</t>
        </is>
      </c>
      <c r="G118" s="4" t="inlineStr">
        <is>
          <t>♦5 ♦7</t>
        </is>
      </c>
      <c r="H118" s="4" t="inlineStr">
        <is>
          <t>♦8 ♦J</t>
        </is>
      </c>
      <c r="I118" s="4" t="inlineStr">
        <is>
          <t>玩2</t>
        </is>
      </c>
      <c r="J118" s="4" t="n">
        <v>25</v>
      </c>
      <c r="K118" s="4" t="inlineStr">
        <is>
          <t>抓分方</t>
        </is>
      </c>
    </row>
    <row r="119">
      <c r="A119" s="4" t="n">
        <v>13</v>
      </c>
      <c r="B119" s="4" t="n">
        <v>2</v>
      </c>
      <c r="C119" s="4" t="inlineStr">
        <is>
          <t>对子</t>
        </is>
      </c>
      <c r="D119" s="4" t="inlineStr">
        <is>
          <t>玩2</t>
        </is>
      </c>
      <c r="E119" s="4" t="inlineStr">
        <is>
          <t>♠2 ♠9</t>
        </is>
      </c>
      <c r="F119" s="4" t="inlineStr">
        <is>
          <t>♠3 ♥3</t>
        </is>
      </c>
      <c r="G119" s="4" t="inlineStr">
        <is>
          <t>♠6 ♠8</t>
        </is>
      </c>
      <c r="H119" s="4" t="inlineStr">
        <is>
          <t>♠4 ♠5</t>
        </is>
      </c>
      <c r="I119" s="4" t="inlineStr">
        <is>
          <t>玩2</t>
        </is>
      </c>
      <c r="J119" s="4" t="n">
        <v>5</v>
      </c>
      <c r="K119" s="4" t="inlineStr">
        <is>
          <t>抓分方</t>
        </is>
      </c>
    </row>
    <row r="120">
      <c r="A120" s="4" t="n">
        <v>13</v>
      </c>
      <c r="B120" s="4" t="n">
        <v>3</v>
      </c>
      <c r="C120" s="4" t="inlineStr">
        <is>
          <t>对子</t>
        </is>
      </c>
      <c r="D120" s="4" t="inlineStr">
        <is>
          <t>玩2</t>
        </is>
      </c>
      <c r="E120" s="4" t="inlineStr">
        <is>
          <t>♣5 ♣10</t>
        </is>
      </c>
      <c r="F120" s="4" t="inlineStr">
        <is>
          <t>♣4 ♥4</t>
        </is>
      </c>
      <c r="G120" s="4" t="inlineStr">
        <is>
          <t>♥6 ♥7</t>
        </is>
      </c>
      <c r="H120" s="4" t="inlineStr">
        <is>
          <t>♣J ♣K</t>
        </is>
      </c>
      <c r="I120" s="4" t="inlineStr">
        <is>
          <t>玩4</t>
        </is>
      </c>
      <c r="J120" s="4" t="n">
        <v>25</v>
      </c>
      <c r="K120" s="4" t="inlineStr">
        <is>
          <t>抓分方</t>
        </is>
      </c>
    </row>
    <row r="121">
      <c r="A121" s="4" t="n">
        <v>13</v>
      </c>
      <c r="B121" s="4" t="n">
        <v>4</v>
      </c>
      <c r="C121" s="4" t="inlineStr">
        <is>
          <t>对子</t>
        </is>
      </c>
      <c r="D121" s="4" t="inlineStr">
        <is>
          <t>玩4</t>
        </is>
      </c>
      <c r="E121" s="4" t="inlineStr">
        <is>
          <t>♥2 ♥10</t>
        </is>
      </c>
      <c r="F121" s="4" t="inlineStr">
        <is>
          <t>大王</t>
        </is>
      </c>
      <c r="G121" s="4" t="inlineStr">
        <is>
          <t>♣2</t>
        </is>
      </c>
      <c r="H121" s="4" t="inlineStr">
        <is>
          <t>♥A ♣A</t>
        </is>
      </c>
      <c r="I121" s="4" t="inlineStr">
        <is>
          <t>玩2</t>
        </is>
      </c>
      <c r="J121" s="4" t="n">
        <v>10</v>
      </c>
      <c r="K121" s="4" t="inlineStr">
        <is>
          <t>抓分方</t>
        </is>
      </c>
    </row>
    <row r="122">
      <c r="A122" s="4" t="n">
        <v>13</v>
      </c>
      <c r="B122" s="4" t="n">
        <v>5</v>
      </c>
      <c r="C122" s="4" t="inlineStr">
        <is>
          <t>单张</t>
        </is>
      </c>
      <c r="D122" s="4" t="inlineStr">
        <is>
          <t>玩2</t>
        </is>
      </c>
      <c r="E122" s="4" t="inlineStr">
        <is>
          <t>♣Q</t>
        </is>
      </c>
      <c r="F122" s="4" t="inlineStr">
        <is>
          <t>♣3</t>
        </is>
      </c>
      <c r="G122" s="4" t="inlineStr">
        <is>
          <t>♥9</t>
        </is>
      </c>
      <c r="H122" s="4" t="inlineStr">
        <is>
          <t>♠7</t>
        </is>
      </c>
      <c r="I122" s="4" t="inlineStr">
        <is>
          <t>玩1</t>
        </is>
      </c>
      <c r="J122" s="4" t="n">
        <v>0</v>
      </c>
      <c r="K122" s="4" t="inlineStr">
        <is>
          <t>庄家方</t>
        </is>
      </c>
    </row>
    <row r="123">
      <c r="A123" s="4" t="n">
        <v>13</v>
      </c>
      <c r="B123" s="4" t="n">
        <v>6</v>
      </c>
      <c r="C123" s="4" t="inlineStr">
        <is>
          <t>单张</t>
        </is>
      </c>
      <c r="D123" s="4" t="inlineStr">
        <is>
          <t>玩1</t>
        </is>
      </c>
      <c r="E123" s="4" t="inlineStr">
        <is>
          <t>♥J</t>
        </is>
      </c>
      <c r="F123" s="4" t="inlineStr">
        <is>
          <t>♣7</t>
        </is>
      </c>
      <c r="G123" s="4" t="inlineStr">
        <is>
          <t>♠10</t>
        </is>
      </c>
      <c r="H123" s="4" t="inlineStr">
        <is>
          <t>♥K</t>
        </is>
      </c>
      <c r="I123" s="4" t="inlineStr">
        <is>
          <t>玩4</t>
        </is>
      </c>
      <c r="J123" s="4" t="n">
        <v>20</v>
      </c>
      <c r="K123" s="4" t="inlineStr">
        <is>
          <t>抓分方</t>
        </is>
      </c>
    </row>
    <row r="124">
      <c r="A124" s="4" t="n">
        <v>13</v>
      </c>
      <c r="B124" s="4" t="n">
        <v>7</v>
      </c>
      <c r="C124" s="4" t="inlineStr">
        <is>
          <t>单张</t>
        </is>
      </c>
      <c r="D124" s="4" t="inlineStr">
        <is>
          <t>玩4</t>
        </is>
      </c>
      <c r="E124" s="4" t="inlineStr">
        <is>
          <t>♠Q</t>
        </is>
      </c>
      <c r="F124" s="4" t="inlineStr">
        <is>
          <t>♣8</t>
        </is>
      </c>
      <c r="G124" s="4" t="inlineStr">
        <is>
          <t>♠J</t>
        </is>
      </c>
      <c r="H124" s="4" t="inlineStr">
        <is>
          <t>♥8</t>
        </is>
      </c>
      <c r="I124" s="4" t="inlineStr">
        <is>
          <t>玩4</t>
        </is>
      </c>
      <c r="J124" s="4" t="n">
        <v>0</v>
      </c>
      <c r="K124" s="4" t="inlineStr">
        <is>
          <t>抓分方</t>
        </is>
      </c>
    </row>
    <row r="125">
      <c r="A125" s="4" t="n">
        <v>13</v>
      </c>
      <c r="B125" s="4" t="n">
        <v>8</v>
      </c>
      <c r="C125" s="4" t="inlineStr">
        <is>
          <t>单张</t>
        </is>
      </c>
      <c r="D125" s="4" t="inlineStr">
        <is>
          <t>玩4</t>
        </is>
      </c>
      <c r="E125" s="4" t="inlineStr">
        <is>
          <t>♦2</t>
        </is>
      </c>
      <c r="F125" s="4" t="inlineStr">
        <is>
          <t>♣9</t>
        </is>
      </c>
      <c r="G125" s="4" t="inlineStr">
        <is>
          <t>♦A</t>
        </is>
      </c>
      <c r="H125" s="4" t="inlineStr">
        <is>
          <t>小王</t>
        </is>
      </c>
      <c r="I125" s="4" t="inlineStr">
        <is>
          <t>玩1</t>
        </is>
      </c>
      <c r="J125" s="4" t="n">
        <v>0</v>
      </c>
      <c r="K125" s="4" t="inlineStr">
        <is>
          <t>庄家方</t>
        </is>
      </c>
    </row>
    <row r="126">
      <c r="A126" s="4" t="n">
        <v>13</v>
      </c>
      <c r="B126" s="4" t="n">
        <v>9</v>
      </c>
      <c r="C126" s="4" t="inlineStr">
        <is>
          <t>单张</t>
        </is>
      </c>
      <c r="D126" s="4" t="inlineStr">
        <is>
          <t>玩1</t>
        </is>
      </c>
      <c r="E126" s="4" t="inlineStr">
        <is>
          <t>无</t>
        </is>
      </c>
      <c r="F126" s="4" t="inlineStr">
        <is>
          <t>♠K</t>
        </is>
      </c>
      <c r="G126" s="4" t="inlineStr">
        <is>
          <t>♠A</t>
        </is>
      </c>
      <c r="H126" s="4" t="inlineStr">
        <is>
          <t>无</t>
        </is>
      </c>
      <c r="I126" s="4" t="inlineStr">
        <is>
          <t>玩3</t>
        </is>
      </c>
      <c r="J126" s="4" t="n">
        <v>10</v>
      </c>
      <c r="K126" s="4" t="inlineStr">
        <is>
          <t>庄家方</t>
        </is>
      </c>
    </row>
    <row r="127">
      <c r="A127" s="4" t="n">
        <v>14</v>
      </c>
      <c r="B127" s="4" t="n">
        <v>1</v>
      </c>
      <c r="C127" s="4" t="inlineStr">
        <is>
          <t>对子</t>
        </is>
      </c>
      <c r="D127" s="4" t="inlineStr">
        <is>
          <t>玩2</t>
        </is>
      </c>
      <c r="E127" s="4" t="inlineStr">
        <is>
          <t>♠2 ♠4</t>
        </is>
      </c>
      <c r="F127" s="4" t="inlineStr">
        <is>
          <t>♠8 ♣8</t>
        </is>
      </c>
      <c r="G127" s="4" t="inlineStr">
        <is>
          <t>♠7 ♠J</t>
        </is>
      </c>
      <c r="H127" s="4" t="inlineStr">
        <is>
          <t>♣3 ♣6</t>
        </is>
      </c>
      <c r="I127" s="4" t="inlineStr">
        <is>
          <t>玩1</t>
        </is>
      </c>
      <c r="J127" s="4" t="n">
        <v>0</v>
      </c>
      <c r="K127" s="4" t="inlineStr">
        <is>
          <t>抓分方</t>
        </is>
      </c>
    </row>
    <row r="128">
      <c r="A128" s="4" t="n">
        <v>14</v>
      </c>
      <c r="B128" s="4" t="n">
        <v>2</v>
      </c>
      <c r="C128" s="4" t="inlineStr">
        <is>
          <t>单张</t>
        </is>
      </c>
      <c r="D128" s="4" t="inlineStr">
        <is>
          <t>玩1</t>
        </is>
      </c>
      <c r="E128" s="4" t="inlineStr">
        <is>
          <t>♣4</t>
        </is>
      </c>
      <c r="F128" s="4" t="inlineStr">
        <is>
          <t>♣Q</t>
        </is>
      </c>
      <c r="G128" s="4" t="inlineStr">
        <is>
          <t>♣9</t>
        </is>
      </c>
      <c r="H128" s="4" t="inlineStr">
        <is>
          <t>♣10</t>
        </is>
      </c>
      <c r="I128" s="4" t="inlineStr">
        <is>
          <t>玩2</t>
        </is>
      </c>
      <c r="J128" s="4" t="n">
        <v>10</v>
      </c>
      <c r="K128" s="4" t="inlineStr">
        <is>
          <t>庄家方</t>
        </is>
      </c>
    </row>
    <row r="129">
      <c r="A129" s="4" t="n">
        <v>14</v>
      </c>
      <c r="B129" s="4" t="n">
        <v>3</v>
      </c>
      <c r="C129" s="4" t="inlineStr">
        <is>
          <t>对子</t>
        </is>
      </c>
      <c r="D129" s="4" t="inlineStr">
        <is>
          <t>玩2</t>
        </is>
      </c>
      <c r="E129" s="4" t="inlineStr">
        <is>
          <t>♦2 ♦J</t>
        </is>
      </c>
      <c r="F129" s="4" t="inlineStr">
        <is>
          <t>♦Q ♥Q</t>
        </is>
      </c>
      <c r="G129" s="4" t="inlineStr">
        <is>
          <t>♦5 ♦7</t>
        </is>
      </c>
      <c r="H129" s="4" t="inlineStr">
        <is>
          <t>♦6 ♦9</t>
        </is>
      </c>
      <c r="I129" s="4" t="inlineStr">
        <is>
          <t>玩1</t>
        </is>
      </c>
      <c r="J129" s="4" t="n">
        <v>5</v>
      </c>
      <c r="K129" s="4" t="inlineStr">
        <is>
          <t>抓分方</t>
        </is>
      </c>
    </row>
    <row r="130">
      <c r="A130" s="4" t="n">
        <v>14</v>
      </c>
      <c r="B130" s="4" t="n">
        <v>4</v>
      </c>
      <c r="C130" s="4" t="inlineStr">
        <is>
          <t>单张</t>
        </is>
      </c>
      <c r="D130" s="4" t="inlineStr">
        <is>
          <t>玩1</t>
        </is>
      </c>
      <c r="E130" s="4" t="inlineStr">
        <is>
          <t>♥6</t>
        </is>
      </c>
      <c r="F130" s="4" t="inlineStr">
        <is>
          <t>♥7</t>
        </is>
      </c>
      <c r="G130" s="4" t="inlineStr">
        <is>
          <t>♥2</t>
        </is>
      </c>
      <c r="H130" s="4" t="inlineStr">
        <is>
          <t>♥9</t>
        </is>
      </c>
      <c r="I130" s="4" t="inlineStr">
        <is>
          <t>玩3</t>
        </is>
      </c>
      <c r="J130" s="4" t="n">
        <v>0</v>
      </c>
      <c r="K130" s="4" t="inlineStr">
        <is>
          <t>抓分方</t>
        </is>
      </c>
    </row>
    <row r="131">
      <c r="A131" s="4" t="n">
        <v>14</v>
      </c>
      <c r="B131" s="4" t="n">
        <v>5</v>
      </c>
      <c r="C131" s="4" t="inlineStr">
        <is>
          <t>单张</t>
        </is>
      </c>
      <c r="D131" s="4" t="inlineStr">
        <is>
          <t>玩3</t>
        </is>
      </c>
      <c r="E131" s="4" t="inlineStr">
        <is>
          <t>♥3</t>
        </is>
      </c>
      <c r="F131" s="4" t="inlineStr">
        <is>
          <t>♥5</t>
        </is>
      </c>
      <c r="G131" s="4" t="inlineStr">
        <is>
          <t>♥4</t>
        </is>
      </c>
      <c r="H131" s="4" t="inlineStr">
        <is>
          <t>♥J</t>
        </is>
      </c>
      <c r="I131" s="4" t="inlineStr">
        <is>
          <t>玩1</t>
        </is>
      </c>
      <c r="J131" s="4" t="n">
        <v>5</v>
      </c>
      <c r="K131" s="4" t="inlineStr">
        <is>
          <t>抓分方</t>
        </is>
      </c>
    </row>
    <row r="132">
      <c r="A132" s="4" t="n">
        <v>14</v>
      </c>
      <c r="B132" s="4" t="n">
        <v>6</v>
      </c>
      <c r="C132" s="4" t="inlineStr">
        <is>
          <t>单张</t>
        </is>
      </c>
      <c r="D132" s="4" t="inlineStr">
        <is>
          <t>玩1</t>
        </is>
      </c>
      <c r="E132" s="4" t="inlineStr">
        <is>
          <t>♣7</t>
        </is>
      </c>
      <c r="F132" s="4" t="inlineStr">
        <is>
          <t>♣A</t>
        </is>
      </c>
      <c r="G132" s="4" t="inlineStr">
        <is>
          <t>♣J</t>
        </is>
      </c>
      <c r="H132" s="4" t="inlineStr">
        <is>
          <t>♣K</t>
        </is>
      </c>
      <c r="I132" s="4" t="inlineStr">
        <is>
          <t>玩2</t>
        </is>
      </c>
      <c r="J132" s="4" t="n">
        <v>10</v>
      </c>
      <c r="K132" s="4" t="inlineStr">
        <is>
          <t>庄家方</t>
        </is>
      </c>
    </row>
    <row r="133">
      <c r="A133" s="4" t="n">
        <v>14</v>
      </c>
      <c r="B133" s="4" t="n">
        <v>7</v>
      </c>
      <c r="C133" s="4" t="inlineStr">
        <is>
          <t>单张</t>
        </is>
      </c>
      <c r="D133" s="4" t="inlineStr">
        <is>
          <t>玩2</t>
        </is>
      </c>
      <c r="E133" s="4" t="inlineStr">
        <is>
          <t>♠Q</t>
        </is>
      </c>
      <c r="F133" s="4" t="inlineStr">
        <is>
          <t>♠3</t>
        </is>
      </c>
      <c r="G133" s="4" t="inlineStr">
        <is>
          <t>♠A</t>
        </is>
      </c>
      <c r="H133" s="4" t="inlineStr">
        <is>
          <t>♠9</t>
        </is>
      </c>
      <c r="I133" s="4" t="inlineStr">
        <is>
          <t>玩3</t>
        </is>
      </c>
      <c r="J133" s="4" t="n">
        <v>0</v>
      </c>
      <c r="K133" s="4" t="inlineStr">
        <is>
          <t>抓分方</t>
        </is>
      </c>
    </row>
    <row r="134">
      <c r="A134" s="4" t="n">
        <v>14</v>
      </c>
      <c r="B134" s="4" t="n">
        <v>8</v>
      </c>
      <c r="C134" s="4" t="inlineStr">
        <is>
          <t>单张</t>
        </is>
      </c>
      <c r="D134" s="4" t="inlineStr">
        <is>
          <t>玩3</t>
        </is>
      </c>
      <c r="E134" s="4" t="inlineStr">
        <is>
          <t>♠K</t>
        </is>
      </c>
      <c r="F134" s="4" t="inlineStr">
        <is>
          <t>小王</t>
        </is>
      </c>
      <c r="G134" s="4" t="inlineStr">
        <is>
          <t>♥8</t>
        </is>
      </c>
      <c r="H134" s="4" t="inlineStr">
        <is>
          <t>♥A</t>
        </is>
      </c>
      <c r="I134" s="4" t="inlineStr">
        <is>
          <t>玩2</t>
        </is>
      </c>
      <c r="J134" s="4" t="n">
        <v>10</v>
      </c>
      <c r="K134" s="4" t="inlineStr">
        <is>
          <t>庄家方</t>
        </is>
      </c>
    </row>
    <row r="135">
      <c r="A135" s="4" t="n">
        <v>14</v>
      </c>
      <c r="B135" s="4" t="n">
        <v>9</v>
      </c>
      <c r="C135" s="4" t="inlineStr">
        <is>
          <t>单张</t>
        </is>
      </c>
      <c r="D135" s="4" t="inlineStr">
        <is>
          <t>玩2</t>
        </is>
      </c>
      <c r="E135" s="4" t="inlineStr">
        <is>
          <t>♦K</t>
        </is>
      </c>
      <c r="F135" s="4" t="inlineStr">
        <is>
          <t>♠5</t>
        </is>
      </c>
      <c r="G135" s="4" t="inlineStr">
        <is>
          <t>大王</t>
        </is>
      </c>
      <c r="H135" s="4" t="inlineStr">
        <is>
          <t>♦10</t>
        </is>
      </c>
      <c r="I135" s="4" t="inlineStr">
        <is>
          <t>玩3</t>
        </is>
      </c>
      <c r="J135" s="4" t="n">
        <v>25</v>
      </c>
      <c r="K135" s="4" t="inlineStr">
        <is>
          <t>抓分方</t>
        </is>
      </c>
    </row>
    <row r="136">
      <c r="A136" s="4" t="n">
        <v>14</v>
      </c>
      <c r="B136" s="4" t="n">
        <v>10</v>
      </c>
      <c r="C136" s="4" t="inlineStr">
        <is>
          <t>单张</t>
        </is>
      </c>
      <c r="D136" s="4" t="inlineStr">
        <is>
          <t>玩3</t>
        </is>
      </c>
      <c r="E136" s="4" t="inlineStr">
        <is>
          <t>♦A</t>
        </is>
      </c>
      <c r="F136" s="4" t="inlineStr">
        <is>
          <t>♣5</t>
        </is>
      </c>
      <c r="G136" s="4" t="inlineStr">
        <is>
          <t>♥10</t>
        </is>
      </c>
      <c r="H136" s="4" t="inlineStr">
        <is>
          <t>♥K</t>
        </is>
      </c>
      <c r="I136" s="4" t="inlineStr">
        <is>
          <t>玩4</t>
        </is>
      </c>
      <c r="J136" s="4" t="n">
        <v>25</v>
      </c>
      <c r="K136" s="4" t="inlineStr">
        <is>
          <t>庄家方</t>
        </is>
      </c>
    </row>
    <row r="137">
      <c r="A137" s="4" t="n">
        <v>15</v>
      </c>
      <c r="B137" s="4" t="n">
        <v>1</v>
      </c>
      <c r="C137" s="4" t="inlineStr">
        <is>
          <t>单张</t>
        </is>
      </c>
      <c r="D137" s="4" t="inlineStr">
        <is>
          <t>玩3</t>
        </is>
      </c>
      <c r="E137" s="4" t="inlineStr">
        <is>
          <t>♠3</t>
        </is>
      </c>
      <c r="F137" s="4" t="inlineStr">
        <is>
          <t>♠2</t>
        </is>
      </c>
      <c r="G137" s="4" t="inlineStr">
        <is>
          <t>♠8</t>
        </is>
      </c>
      <c r="H137" s="4" t="inlineStr">
        <is>
          <t>♠Q</t>
        </is>
      </c>
      <c r="I137" s="4" t="inlineStr">
        <is>
          <t>玩2</t>
        </is>
      </c>
      <c r="J137" s="4" t="n">
        <v>0</v>
      </c>
      <c r="K137" s="4" t="inlineStr">
        <is>
          <t>抓分方</t>
        </is>
      </c>
    </row>
    <row r="138">
      <c r="A138" s="4" t="n">
        <v>15</v>
      </c>
      <c r="B138" s="4" t="n">
        <v>2</v>
      </c>
      <c r="C138" s="4" t="inlineStr">
        <is>
          <t>对子</t>
        </is>
      </c>
      <c r="D138" s="4" t="inlineStr">
        <is>
          <t>玩2</t>
        </is>
      </c>
      <c r="E138" s="4" t="inlineStr">
        <is>
          <t>♠7 ♠K</t>
        </is>
      </c>
      <c r="F138" s="4" t="inlineStr">
        <is>
          <t>♠4 ♦4</t>
        </is>
      </c>
      <c r="G138" s="4" t="inlineStr">
        <is>
          <t>♠5 ♠10</t>
        </is>
      </c>
      <c r="H138" s="4" t="inlineStr">
        <is>
          <t>♣3 ♦5</t>
        </is>
      </c>
      <c r="I138" s="4" t="inlineStr">
        <is>
          <t>玩1</t>
        </is>
      </c>
      <c r="J138" s="4" t="n">
        <v>30</v>
      </c>
      <c r="K138" s="4" t="inlineStr">
        <is>
          <t>庄家方</t>
        </is>
      </c>
    </row>
    <row r="139">
      <c r="A139" s="4" t="n">
        <v>15</v>
      </c>
      <c r="B139" s="4" t="n">
        <v>3</v>
      </c>
      <c r="C139" s="4" t="inlineStr">
        <is>
          <t>对子</t>
        </is>
      </c>
      <c r="D139" s="4" t="inlineStr">
        <is>
          <t>玩1</t>
        </is>
      </c>
      <c r="E139" s="4" t="inlineStr">
        <is>
          <t>♥6 ♦6</t>
        </is>
      </c>
      <c r="F139" s="4" t="inlineStr">
        <is>
          <t>♥3 ♥10</t>
        </is>
      </c>
      <c r="G139" s="4" t="inlineStr">
        <is>
          <t>♥2 ♥K</t>
        </is>
      </c>
      <c r="H139" s="4" t="inlineStr">
        <is>
          <t>♥7 ♥9</t>
        </is>
      </c>
      <c r="I139" s="4" t="inlineStr">
        <is>
          <t>玩2</t>
        </is>
      </c>
      <c r="J139" s="4" t="n">
        <v>20</v>
      </c>
      <c r="K139" s="4" t="inlineStr">
        <is>
          <t>抓分方</t>
        </is>
      </c>
    </row>
    <row r="140">
      <c r="A140" s="4" t="n">
        <v>15</v>
      </c>
      <c r="B140" s="4" t="n">
        <v>4</v>
      </c>
      <c r="C140" s="4" t="inlineStr">
        <is>
          <t>对子</t>
        </is>
      </c>
      <c r="D140" s="4" t="inlineStr">
        <is>
          <t>玩2</t>
        </is>
      </c>
      <c r="E140" s="4" t="inlineStr">
        <is>
          <t>♦3 ♦8</t>
        </is>
      </c>
      <c r="F140" s="4" t="inlineStr">
        <is>
          <t>♦2 ♣2</t>
        </is>
      </c>
      <c r="G140" s="4" t="inlineStr">
        <is>
          <t>♣5 ♣9</t>
        </is>
      </c>
      <c r="H140" s="4" t="inlineStr">
        <is>
          <t>♦7 ♦J</t>
        </is>
      </c>
      <c r="I140" s="4" t="inlineStr">
        <is>
          <t>玩2</t>
        </is>
      </c>
      <c r="J140" s="4" t="n">
        <v>5</v>
      </c>
      <c r="K140" s="4" t="inlineStr">
        <is>
          <t>抓分方</t>
        </is>
      </c>
    </row>
    <row r="141">
      <c r="A141" s="4" t="n">
        <v>15</v>
      </c>
      <c r="B141" s="4" t="n">
        <v>5</v>
      </c>
      <c r="C141" s="4" t="inlineStr">
        <is>
          <t>单张</t>
        </is>
      </c>
      <c r="D141" s="4" t="inlineStr">
        <is>
          <t>玩2</t>
        </is>
      </c>
      <c r="E141" s="4" t="inlineStr">
        <is>
          <t>♣4</t>
        </is>
      </c>
      <c r="F141" s="4" t="inlineStr">
        <is>
          <t>♠6</t>
        </is>
      </c>
      <c r="G141" s="4" t="inlineStr">
        <is>
          <t>♦10</t>
        </is>
      </c>
      <c r="H141" s="4" t="inlineStr">
        <is>
          <t>♠A</t>
        </is>
      </c>
      <c r="I141" s="4" t="inlineStr">
        <is>
          <t>玩4</t>
        </is>
      </c>
      <c r="J141" s="4" t="n">
        <v>10</v>
      </c>
      <c r="K141" s="4" t="inlineStr">
        <is>
          <t>抓分方</t>
        </is>
      </c>
    </row>
    <row r="142">
      <c r="A142" s="4" t="n">
        <v>15</v>
      </c>
      <c r="B142" s="4" t="n">
        <v>6</v>
      </c>
      <c r="C142" s="4" t="inlineStr">
        <is>
          <t>对子</t>
        </is>
      </c>
      <c r="D142" s="4" t="inlineStr">
        <is>
          <t>玩4</t>
        </is>
      </c>
      <c r="E142" s="4" t="inlineStr">
        <is>
          <t>♥4 ♥5</t>
        </is>
      </c>
      <c r="F142" s="4" t="inlineStr">
        <is>
          <t>♣7 ♣A</t>
        </is>
      </c>
      <c r="G142" s="4" t="inlineStr">
        <is>
          <t>♣10 ♣J</t>
        </is>
      </c>
      <c r="H142" s="4" t="inlineStr">
        <is>
          <t>♣Q ♦Q</t>
        </is>
      </c>
      <c r="I142" s="4" t="inlineStr">
        <is>
          <t>玩2</t>
        </is>
      </c>
      <c r="J142" s="4" t="n">
        <v>15</v>
      </c>
      <c r="K142" s="4" t="inlineStr">
        <is>
          <t>抓分方</t>
        </is>
      </c>
    </row>
    <row r="143">
      <c r="A143" s="4" t="n">
        <v>15</v>
      </c>
      <c r="B143" s="4" t="n">
        <v>7</v>
      </c>
      <c r="C143" s="4" t="inlineStr">
        <is>
          <t>单张</t>
        </is>
      </c>
      <c r="D143" s="4" t="inlineStr">
        <is>
          <t>玩2</t>
        </is>
      </c>
      <c r="E143" s="4" t="inlineStr">
        <is>
          <t>♣K</t>
        </is>
      </c>
      <c r="F143" s="4" t="inlineStr">
        <is>
          <t>♠J</t>
        </is>
      </c>
      <c r="G143" s="4" t="inlineStr">
        <is>
          <t>小王</t>
        </is>
      </c>
      <c r="H143" s="4" t="inlineStr">
        <is>
          <t>♥J</t>
        </is>
      </c>
      <c r="I143" s="4" t="inlineStr">
        <is>
          <t>玩3</t>
        </is>
      </c>
      <c r="J143" s="4" t="n">
        <v>10</v>
      </c>
      <c r="K143" s="4" t="inlineStr">
        <is>
          <t>庄家方</t>
        </is>
      </c>
    </row>
    <row r="144">
      <c r="A144" s="4" t="n">
        <v>15</v>
      </c>
      <c r="B144" s="4" t="n">
        <v>8</v>
      </c>
      <c r="C144" s="4" t="inlineStr">
        <is>
          <t>单张</t>
        </is>
      </c>
      <c r="D144" s="4" t="inlineStr">
        <is>
          <t>玩3</t>
        </is>
      </c>
      <c r="E144" s="4" t="inlineStr">
        <is>
          <t>♥A</t>
        </is>
      </c>
      <c r="F144" s="4" t="inlineStr">
        <is>
          <t>♦K</t>
        </is>
      </c>
      <c r="G144" s="4" t="inlineStr">
        <is>
          <t>大王</t>
        </is>
      </c>
      <c r="H144" s="4" t="inlineStr">
        <is>
          <t>♦A</t>
        </is>
      </c>
      <c r="I144" s="4" t="inlineStr">
        <is>
          <t>玩3</t>
        </is>
      </c>
      <c r="J144" s="4" t="n">
        <v>10</v>
      </c>
      <c r="K144" s="4" t="inlineStr">
        <is>
          <t>庄家方</t>
        </is>
      </c>
    </row>
    <row r="145">
      <c r="A145" s="4" t="n">
        <v>16</v>
      </c>
      <c r="B145" s="4" t="n">
        <v>1</v>
      </c>
      <c r="C145" s="4" t="inlineStr">
        <is>
          <t>对子</t>
        </is>
      </c>
      <c r="D145" s="4" t="inlineStr">
        <is>
          <t>玩4</t>
        </is>
      </c>
      <c r="E145" s="4" t="inlineStr">
        <is>
          <t>♦3 ♦4</t>
        </is>
      </c>
      <c r="F145" s="4" t="inlineStr">
        <is>
          <t>♥4 ♣4</t>
        </is>
      </c>
      <c r="G145" s="4" t="inlineStr">
        <is>
          <t>♦2 ♦10</t>
        </is>
      </c>
      <c r="H145" s="4" t="inlineStr">
        <is>
          <t>♦Q ♣Q</t>
        </is>
      </c>
      <c r="I145" s="4" t="inlineStr">
        <is>
          <t>玩3</t>
        </is>
      </c>
      <c r="J145" s="4" t="n">
        <v>10</v>
      </c>
      <c r="K145" s="4" t="inlineStr">
        <is>
          <t>抓分方</t>
        </is>
      </c>
    </row>
    <row r="146">
      <c r="A146" s="4" t="n">
        <v>16</v>
      </c>
      <c r="B146" s="4" t="n">
        <v>2</v>
      </c>
      <c r="C146" s="4" t="inlineStr">
        <is>
          <t>对子</t>
        </is>
      </c>
      <c r="D146" s="4" t="inlineStr">
        <is>
          <t>玩3</t>
        </is>
      </c>
      <c r="E146" s="4" t="inlineStr">
        <is>
          <t>♠10 ♠J</t>
        </is>
      </c>
      <c r="F146" s="4" t="inlineStr">
        <is>
          <t>♠2 ♠6</t>
        </is>
      </c>
      <c r="G146" s="4" t="inlineStr">
        <is>
          <t>♠7 ♥7</t>
        </is>
      </c>
      <c r="H146" s="4" t="inlineStr">
        <is>
          <t>♠5 ♥5</t>
        </is>
      </c>
      <c r="I146" s="4" t="inlineStr">
        <is>
          <t>玩2</t>
        </is>
      </c>
      <c r="J146" s="4" t="n">
        <v>20</v>
      </c>
      <c r="K146" s="4" t="inlineStr">
        <is>
          <t>庄家方</t>
        </is>
      </c>
    </row>
    <row r="147">
      <c r="A147" s="4" t="n">
        <v>16</v>
      </c>
      <c r="B147" s="4" t="n">
        <v>3</v>
      </c>
      <c r="C147" s="4" t="inlineStr">
        <is>
          <t>对子</t>
        </is>
      </c>
      <c r="D147" s="4" t="inlineStr">
        <is>
          <t>玩2</t>
        </is>
      </c>
      <c r="E147" s="4" t="inlineStr">
        <is>
          <t>♥3 小王</t>
        </is>
      </c>
      <c r="F147" s="4" t="inlineStr">
        <is>
          <t>♣J ♥J</t>
        </is>
      </c>
      <c r="G147" s="4" t="inlineStr">
        <is>
          <t>♣2 ♣3</t>
        </is>
      </c>
      <c r="H147" s="4" t="inlineStr">
        <is>
          <t>♣K ♣A</t>
        </is>
      </c>
      <c r="I147" s="4" t="inlineStr">
        <is>
          <t>玩1</t>
        </is>
      </c>
      <c r="J147" s="4" t="n">
        <v>10</v>
      </c>
      <c r="K147" s="4" t="inlineStr">
        <is>
          <t>抓分方</t>
        </is>
      </c>
    </row>
    <row r="148">
      <c r="A148" s="4" t="n">
        <v>16</v>
      </c>
      <c r="B148" s="4" t="n">
        <v>4</v>
      </c>
      <c r="C148" s="4" t="inlineStr">
        <is>
          <t>对子</t>
        </is>
      </c>
      <c r="D148" s="4" t="inlineStr">
        <is>
          <t>玩1</t>
        </is>
      </c>
      <c r="E148" s="4" t="inlineStr">
        <is>
          <t>♠A ♦A</t>
        </is>
      </c>
      <c r="F148" s="4" t="inlineStr">
        <is>
          <t>♥6 ♣6</t>
        </is>
      </c>
      <c r="G148" s="4" t="inlineStr">
        <is>
          <t>♠4 ♠K</t>
        </is>
      </c>
      <c r="H148" s="4" t="inlineStr">
        <is>
          <t>大王</t>
        </is>
      </c>
      <c r="I148" s="4" t="inlineStr">
        <is>
          <t>玩4</t>
        </is>
      </c>
      <c r="J148" s="4" t="n">
        <v>10</v>
      </c>
      <c r="K148" s="4" t="inlineStr">
        <is>
          <t>庄家方</t>
        </is>
      </c>
    </row>
    <row r="149">
      <c r="A149" s="4" t="n">
        <v>16</v>
      </c>
      <c r="B149" s="4" t="n">
        <v>5</v>
      </c>
      <c r="C149" s="4" t="inlineStr">
        <is>
          <t>单张</t>
        </is>
      </c>
      <c r="D149" s="4" t="inlineStr">
        <is>
          <t>玩4</t>
        </is>
      </c>
      <c r="E149" s="4" t="inlineStr">
        <is>
          <t>♦9</t>
        </is>
      </c>
      <c r="F149" s="4" t="inlineStr">
        <is>
          <t>♣8</t>
        </is>
      </c>
      <c r="G149" s="4" t="inlineStr">
        <is>
          <t>♦K</t>
        </is>
      </c>
      <c r="H149" s="4" t="inlineStr">
        <is>
          <t>♦7</t>
        </is>
      </c>
      <c r="I149" s="4" t="inlineStr">
        <is>
          <t>玩3</t>
        </is>
      </c>
      <c r="J149" s="4" t="n">
        <v>10</v>
      </c>
      <c r="K149" s="4" t="inlineStr">
        <is>
          <t>抓分方</t>
        </is>
      </c>
    </row>
    <row r="150">
      <c r="A150" s="4" t="n">
        <v>16</v>
      </c>
      <c r="B150" s="4" t="n">
        <v>6</v>
      </c>
      <c r="C150" s="4" t="inlineStr">
        <is>
          <t>单张</t>
        </is>
      </c>
      <c r="D150" s="4" t="inlineStr">
        <is>
          <t>玩3</t>
        </is>
      </c>
      <c r="E150" s="4" t="inlineStr">
        <is>
          <t>♣7</t>
        </is>
      </c>
      <c r="F150" s="4" t="inlineStr">
        <is>
          <t>♣10</t>
        </is>
      </c>
      <c r="G150" s="4" t="inlineStr">
        <is>
          <t>♣9</t>
        </is>
      </c>
      <c r="H150" s="4" t="inlineStr">
        <is>
          <t>♥10</t>
        </is>
      </c>
      <c r="I150" s="4" t="inlineStr">
        <is>
          <t>玩2</t>
        </is>
      </c>
      <c r="J150" s="4" t="n">
        <v>20</v>
      </c>
      <c r="K150" s="4" t="inlineStr">
        <is>
          <t>庄家方</t>
        </is>
      </c>
    </row>
    <row r="151">
      <c r="A151" s="4" t="n">
        <v>16</v>
      </c>
      <c r="B151" s="4" t="n">
        <v>7</v>
      </c>
      <c r="C151" s="4" t="inlineStr">
        <is>
          <t>单张</t>
        </is>
      </c>
      <c r="D151" s="4" t="inlineStr">
        <is>
          <t>玩2</t>
        </is>
      </c>
      <c r="E151" s="4" t="inlineStr">
        <is>
          <t>♥8</t>
        </is>
      </c>
      <c r="F151" s="4" t="inlineStr">
        <is>
          <t>♥9</t>
        </is>
      </c>
      <c r="G151" s="4" t="inlineStr">
        <is>
          <t>♥2</t>
        </is>
      </c>
      <c r="H151" s="4" t="inlineStr">
        <is>
          <t>♥Q</t>
        </is>
      </c>
      <c r="I151" s="4" t="inlineStr">
        <is>
          <t>玩3</t>
        </is>
      </c>
      <c r="J151" s="4" t="n">
        <v>0</v>
      </c>
      <c r="K151" s="4" t="inlineStr">
        <is>
          <t>抓分方</t>
        </is>
      </c>
    </row>
    <row r="152">
      <c r="A152" s="4" t="n">
        <v>16</v>
      </c>
      <c r="B152" s="4" t="n">
        <v>8</v>
      </c>
      <c r="C152" s="4" t="inlineStr">
        <is>
          <t>单张</t>
        </is>
      </c>
      <c r="D152" s="4" t="inlineStr">
        <is>
          <t>玩3</t>
        </is>
      </c>
      <c r="E152" s="4" t="inlineStr">
        <is>
          <t>♦5</t>
        </is>
      </c>
      <c r="F152" s="4" t="inlineStr">
        <is>
          <t>♠Q</t>
        </is>
      </c>
      <c r="G152" s="4" t="inlineStr">
        <is>
          <t>♣5</t>
        </is>
      </c>
      <c r="H152" s="4" t="inlineStr">
        <is>
          <t>♥K</t>
        </is>
      </c>
      <c r="I152" s="4" t="inlineStr">
        <is>
          <t>玩3</t>
        </is>
      </c>
      <c r="J152" s="4" t="n">
        <v>20</v>
      </c>
      <c r="K152" s="4" t="inlineStr">
        <is>
          <t>抓分方</t>
        </is>
      </c>
    </row>
    <row r="153">
      <c r="A153" s="4" t="n">
        <v>16</v>
      </c>
      <c r="B153" s="4" t="n">
        <v>9</v>
      </c>
      <c r="C153" s="4" t="inlineStr">
        <is>
          <t>单张</t>
        </is>
      </c>
      <c r="D153" s="4" t="inlineStr">
        <is>
          <t>玩3</t>
        </is>
      </c>
      <c r="E153" s="4" t="inlineStr">
        <is>
          <t>无</t>
        </is>
      </c>
      <c r="F153" s="4" t="inlineStr">
        <is>
          <t>无</t>
        </is>
      </c>
      <c r="G153" s="4" t="inlineStr">
        <is>
          <t>无</t>
        </is>
      </c>
      <c r="H153" s="4" t="inlineStr">
        <is>
          <t>♥A</t>
        </is>
      </c>
      <c r="I153" s="4" t="inlineStr">
        <is>
          <t>玩4</t>
        </is>
      </c>
      <c r="J153" s="4" t="n">
        <v>0</v>
      </c>
      <c r="K153" s="4" t="inlineStr">
        <is>
          <t>庄家方</t>
        </is>
      </c>
    </row>
    <row r="154">
      <c r="A154" s="4" t="n">
        <v>17</v>
      </c>
      <c r="B154" s="4" t="n">
        <v>1</v>
      </c>
      <c r="C154" s="4" t="inlineStr">
        <is>
          <t>对子</t>
        </is>
      </c>
      <c r="D154" s="4" t="inlineStr">
        <is>
          <t>玩1</t>
        </is>
      </c>
      <c r="E154" s="4" t="inlineStr">
        <is>
          <t>♣2 ♠2</t>
        </is>
      </c>
      <c r="F154" s="4" t="inlineStr">
        <is>
          <t>♣4 ♣5</t>
        </is>
      </c>
      <c r="G154" s="4" t="inlineStr">
        <is>
          <t>♣6 ♣10</t>
        </is>
      </c>
      <c r="H154" s="4" t="inlineStr">
        <is>
          <t>♣3 ♣J</t>
        </is>
      </c>
      <c r="I154" s="4" t="inlineStr">
        <is>
          <t>玩1</t>
        </is>
      </c>
      <c r="J154" s="4" t="n">
        <v>15</v>
      </c>
      <c r="K154" s="4" t="inlineStr">
        <is>
          <t>庄家方</t>
        </is>
      </c>
    </row>
    <row r="155">
      <c r="A155" s="4" t="n">
        <v>17</v>
      </c>
      <c r="B155" s="4" t="n">
        <v>2</v>
      </c>
      <c r="C155" s="4" t="inlineStr">
        <is>
          <t>对子</t>
        </is>
      </c>
      <c r="D155" s="4" t="inlineStr">
        <is>
          <t>玩1</t>
        </is>
      </c>
      <c r="E155" s="4" t="inlineStr">
        <is>
          <t>♥A ♦A</t>
        </is>
      </c>
      <c r="F155" s="4" t="inlineStr">
        <is>
          <t>♥2 ♥6</t>
        </is>
      </c>
      <c r="G155" s="4" t="inlineStr">
        <is>
          <t>♥4 ♦6</t>
        </is>
      </c>
      <c r="H155" s="4" t="inlineStr">
        <is>
          <t>♥9 ♥10</t>
        </is>
      </c>
      <c r="I155" s="4" t="inlineStr">
        <is>
          <t>玩2</t>
        </is>
      </c>
      <c r="J155" s="4" t="n">
        <v>10</v>
      </c>
      <c r="K155" s="4" t="inlineStr">
        <is>
          <t>抓分方</t>
        </is>
      </c>
    </row>
    <row r="156">
      <c r="A156" s="4" t="n">
        <v>17</v>
      </c>
      <c r="B156" s="4" t="n">
        <v>3</v>
      </c>
      <c r="C156" s="4" t="inlineStr">
        <is>
          <t>对子</t>
        </is>
      </c>
      <c r="D156" s="4" t="inlineStr">
        <is>
          <t>玩2</t>
        </is>
      </c>
      <c r="E156" s="4" t="inlineStr">
        <is>
          <t>♦Q ♦K</t>
        </is>
      </c>
      <c r="F156" s="4" t="inlineStr">
        <is>
          <t>♦4 ♠4</t>
        </is>
      </c>
      <c r="G156" s="4" t="inlineStr">
        <is>
          <t>♦8 ♦10</t>
        </is>
      </c>
      <c r="H156" s="4" t="inlineStr">
        <is>
          <t>♦3 ♦5</t>
        </is>
      </c>
      <c r="I156" s="4" t="inlineStr">
        <is>
          <t>玩1</t>
        </is>
      </c>
      <c r="J156" s="4" t="n">
        <v>25</v>
      </c>
      <c r="K156" s="4" t="inlineStr">
        <is>
          <t>庄家方</t>
        </is>
      </c>
    </row>
    <row r="157">
      <c r="A157" s="4" t="n">
        <v>17</v>
      </c>
      <c r="B157" s="4" t="n">
        <v>4</v>
      </c>
      <c r="C157" s="4" t="inlineStr">
        <is>
          <t>单张</t>
        </is>
      </c>
      <c r="D157" s="4" t="inlineStr">
        <is>
          <t>玩1</t>
        </is>
      </c>
      <c r="E157" s="4" t="inlineStr">
        <is>
          <t>♥8</t>
        </is>
      </c>
      <c r="F157" s="4" t="inlineStr">
        <is>
          <t>♥7</t>
        </is>
      </c>
      <c r="G157" s="4" t="inlineStr">
        <is>
          <t>♦J</t>
        </is>
      </c>
      <c r="H157" s="4" t="inlineStr">
        <is>
          <t>♥Q</t>
        </is>
      </c>
      <c r="I157" s="4" t="inlineStr">
        <is>
          <t>玩4</t>
        </is>
      </c>
      <c r="J157" s="4" t="n">
        <v>0</v>
      </c>
      <c r="K157" s="4" t="inlineStr">
        <is>
          <t>抓分方</t>
        </is>
      </c>
    </row>
    <row r="158">
      <c r="A158" s="4" t="n">
        <v>17</v>
      </c>
      <c r="B158" s="4" t="n">
        <v>5</v>
      </c>
      <c r="C158" s="4" t="inlineStr">
        <is>
          <t>单张</t>
        </is>
      </c>
      <c r="D158" s="4" t="inlineStr">
        <is>
          <t>玩4</t>
        </is>
      </c>
      <c r="E158" s="4" t="inlineStr">
        <is>
          <t>♠5</t>
        </is>
      </c>
      <c r="F158" s="4" t="inlineStr">
        <is>
          <t>♠7</t>
        </is>
      </c>
      <c r="G158" s="4" t="inlineStr">
        <is>
          <t>♠Q</t>
        </is>
      </c>
      <c r="H158" s="4" t="inlineStr">
        <is>
          <t>♠3</t>
        </is>
      </c>
      <c r="I158" s="4" t="inlineStr">
        <is>
          <t>玩3</t>
        </is>
      </c>
      <c r="J158" s="4" t="n">
        <v>5</v>
      </c>
      <c r="K158" s="4" t="inlineStr">
        <is>
          <t>庄家方</t>
        </is>
      </c>
    </row>
    <row r="159">
      <c r="A159" s="4" t="n">
        <v>17</v>
      </c>
      <c r="B159" s="4" t="n">
        <v>6</v>
      </c>
      <c r="C159" s="4" t="inlineStr">
        <is>
          <t>单张</t>
        </is>
      </c>
      <c r="D159" s="4" t="inlineStr">
        <is>
          <t>玩3</t>
        </is>
      </c>
      <c r="E159" s="4" t="inlineStr">
        <is>
          <t>♥5</t>
        </is>
      </c>
      <c r="F159" s="4" t="inlineStr">
        <is>
          <t>♦2</t>
        </is>
      </c>
      <c r="G159" s="4" t="inlineStr">
        <is>
          <t>♣Q</t>
        </is>
      </c>
      <c r="H159" s="4" t="inlineStr">
        <is>
          <t>♣A</t>
        </is>
      </c>
      <c r="I159" s="4" t="inlineStr">
        <is>
          <t>玩2</t>
        </is>
      </c>
      <c r="J159" s="4" t="n">
        <v>5</v>
      </c>
      <c r="K159" s="4" t="inlineStr">
        <is>
          <t>抓分方</t>
        </is>
      </c>
    </row>
    <row r="160">
      <c r="A160" s="4" t="n">
        <v>17</v>
      </c>
      <c r="B160" s="4" t="n">
        <v>7</v>
      </c>
      <c r="C160" s="4" t="inlineStr">
        <is>
          <t>单张</t>
        </is>
      </c>
      <c r="D160" s="4" t="inlineStr">
        <is>
          <t>玩2</t>
        </is>
      </c>
      <c r="E160" s="4" t="inlineStr">
        <is>
          <t>♥3</t>
        </is>
      </c>
      <c r="F160" s="4" t="inlineStr">
        <is>
          <t>♦7</t>
        </is>
      </c>
      <c r="G160" s="4" t="inlineStr">
        <is>
          <t>♣K</t>
        </is>
      </c>
      <c r="H160" s="4" t="inlineStr">
        <is>
          <t>♠6</t>
        </is>
      </c>
      <c r="I160" s="4" t="inlineStr">
        <is>
          <t>玩1</t>
        </is>
      </c>
      <c r="J160" s="4" t="n">
        <v>10</v>
      </c>
      <c r="K160" s="4" t="inlineStr">
        <is>
          <t>庄家方</t>
        </is>
      </c>
    </row>
    <row r="161">
      <c r="A161" s="4" t="n">
        <v>17</v>
      </c>
      <c r="B161" s="4" t="n">
        <v>8</v>
      </c>
      <c r="C161" s="4" t="inlineStr">
        <is>
          <t>单张</t>
        </is>
      </c>
      <c r="D161" s="4" t="inlineStr">
        <is>
          <t>玩1</t>
        </is>
      </c>
      <c r="E161" s="4" t="inlineStr">
        <is>
          <t>♥J</t>
        </is>
      </c>
      <c r="F161" s="4" t="inlineStr">
        <is>
          <t>♦9</t>
        </is>
      </c>
      <c r="G161" s="4" t="inlineStr">
        <is>
          <t>♠A</t>
        </is>
      </c>
      <c r="H161" s="4" t="inlineStr">
        <is>
          <t>♥K</t>
        </is>
      </c>
      <c r="I161" s="4" t="inlineStr">
        <is>
          <t>玩4</t>
        </is>
      </c>
      <c r="J161" s="4" t="n">
        <v>10</v>
      </c>
      <c r="K161" s="4" t="inlineStr">
        <is>
          <t>抓分方</t>
        </is>
      </c>
    </row>
    <row r="162">
      <c r="A162" s="4" t="n">
        <v>17</v>
      </c>
      <c r="B162" s="4" t="n">
        <v>9</v>
      </c>
      <c r="C162" s="4" t="inlineStr">
        <is>
          <t>单张</t>
        </is>
      </c>
      <c r="D162" s="4" t="inlineStr">
        <is>
          <t>玩4</t>
        </is>
      </c>
      <c r="E162" s="4" t="inlineStr">
        <is>
          <t>♠10</t>
        </is>
      </c>
      <c r="F162" s="4" t="inlineStr">
        <is>
          <t>大王</t>
        </is>
      </c>
      <c r="G162" s="4" t="inlineStr">
        <is>
          <t>小王</t>
        </is>
      </c>
      <c r="H162" s="4" t="inlineStr">
        <is>
          <t>♠J</t>
        </is>
      </c>
      <c r="I162" s="4" t="inlineStr">
        <is>
          <t>玩2</t>
        </is>
      </c>
      <c r="J162" s="4" t="n">
        <v>10</v>
      </c>
      <c r="K162" s="4" t="inlineStr">
        <is>
          <t>抓分方</t>
        </is>
      </c>
    </row>
    <row r="163">
      <c r="A163" s="4" t="n">
        <v>18</v>
      </c>
      <c r="B163" s="4" t="n">
        <v>1</v>
      </c>
      <c r="C163" s="4" t="inlineStr">
        <is>
          <t>对子</t>
        </is>
      </c>
      <c r="D163" s="4" t="inlineStr">
        <is>
          <t>玩2</t>
        </is>
      </c>
      <c r="E163" s="4" t="inlineStr">
        <is>
          <t>♣6 ♣8</t>
        </is>
      </c>
      <c r="F163" s="4" t="inlineStr">
        <is>
          <t>♣2 ♥2</t>
        </is>
      </c>
      <c r="G163" s="4" t="inlineStr">
        <is>
          <t>♣9 ♣K</t>
        </is>
      </c>
      <c r="H163" s="4" t="inlineStr">
        <is>
          <t>♣3 ♣4</t>
        </is>
      </c>
      <c r="I163" s="4" t="inlineStr">
        <is>
          <t>玩2</t>
        </is>
      </c>
      <c r="J163" s="4" t="n">
        <v>10</v>
      </c>
      <c r="K163" s="4" t="inlineStr">
        <is>
          <t>庄家方</t>
        </is>
      </c>
    </row>
    <row r="164">
      <c r="A164" s="4" t="n">
        <v>18</v>
      </c>
      <c r="B164" s="4" t="n">
        <v>2</v>
      </c>
      <c r="C164" s="4" t="inlineStr">
        <is>
          <t>对子</t>
        </is>
      </c>
      <c r="D164" s="4" t="inlineStr">
        <is>
          <t>玩2</t>
        </is>
      </c>
      <c r="E164" s="4" t="inlineStr">
        <is>
          <t>♥3 ♥7</t>
        </is>
      </c>
      <c r="F164" s="4" t="inlineStr">
        <is>
          <t>♥A ♦A</t>
        </is>
      </c>
      <c r="G164" s="4" t="inlineStr">
        <is>
          <t>♥5 ♥6</t>
        </is>
      </c>
      <c r="H164" s="4" t="inlineStr">
        <is>
          <t>♥4 ♥J</t>
        </is>
      </c>
      <c r="I164" s="4" t="inlineStr">
        <is>
          <t>玩1</t>
        </is>
      </c>
      <c r="J164" s="4" t="n">
        <v>5</v>
      </c>
      <c r="K164" s="4" t="inlineStr">
        <is>
          <t>抓分方</t>
        </is>
      </c>
    </row>
    <row r="165">
      <c r="A165" s="4" t="n">
        <v>18</v>
      </c>
      <c r="B165" s="4" t="n">
        <v>3</v>
      </c>
      <c r="C165" s="4" t="inlineStr">
        <is>
          <t>对子</t>
        </is>
      </c>
      <c r="D165" s="4" t="inlineStr">
        <is>
          <t>玩1</t>
        </is>
      </c>
      <c r="E165" s="4" t="inlineStr">
        <is>
          <t>♠3 ♦3</t>
        </is>
      </c>
      <c r="F165" s="4" t="inlineStr">
        <is>
          <t>♣5 ♠9</t>
        </is>
      </c>
      <c r="G165" s="4" t="inlineStr">
        <is>
          <t>♠2 ♠5</t>
        </is>
      </c>
      <c r="H165" s="4" t="inlineStr">
        <is>
          <t>♠7 ♠10</t>
        </is>
      </c>
      <c r="I165" s="4" t="inlineStr">
        <is>
          <t>玩3</t>
        </is>
      </c>
      <c r="J165" s="4" t="n">
        <v>20</v>
      </c>
      <c r="K165" s="4" t="inlineStr">
        <is>
          <t>抓分方</t>
        </is>
      </c>
    </row>
    <row r="166">
      <c r="A166" s="4" t="n">
        <v>18</v>
      </c>
      <c r="B166" s="4" t="n">
        <v>4</v>
      </c>
      <c r="C166" s="4" t="inlineStr">
        <is>
          <t>对子</t>
        </is>
      </c>
      <c r="D166" s="4" t="inlineStr">
        <is>
          <t>玩3</t>
        </is>
      </c>
      <c r="E166" s="4" t="inlineStr">
        <is>
          <t>♠6 ♠8</t>
        </is>
      </c>
      <c r="F166" s="4" t="inlineStr">
        <is>
          <t>♥10 ♥K</t>
        </is>
      </c>
      <c r="G166" s="4" t="inlineStr">
        <is>
          <t>♥8 ♦8</t>
        </is>
      </c>
      <c r="H166" s="4" t="inlineStr">
        <is>
          <t>♦4 ♦5</t>
        </is>
      </c>
      <c r="I166" s="4" t="inlineStr">
        <is>
          <t>玩2</t>
        </is>
      </c>
      <c r="J166" s="4" t="n">
        <v>25</v>
      </c>
      <c r="K166" s="4" t="inlineStr">
        <is>
          <t>庄家方</t>
        </is>
      </c>
    </row>
    <row r="167">
      <c r="A167" s="4" t="n">
        <v>18</v>
      </c>
      <c r="B167" s="4" t="n">
        <v>5</v>
      </c>
      <c r="C167" s="4" t="inlineStr">
        <is>
          <t>单张</t>
        </is>
      </c>
      <c r="D167" s="4" t="inlineStr">
        <is>
          <t>玩2</t>
        </is>
      </c>
      <c r="E167" s="4" t="inlineStr">
        <is>
          <t>♥9</t>
        </is>
      </c>
      <c r="F167" s="4" t="inlineStr">
        <is>
          <t>♣J</t>
        </is>
      </c>
      <c r="G167" s="4" t="inlineStr">
        <is>
          <t>♥Q</t>
        </is>
      </c>
      <c r="H167" s="4" t="inlineStr">
        <is>
          <t>♣7</t>
        </is>
      </c>
      <c r="I167" s="4" t="inlineStr">
        <is>
          <t>玩2</t>
        </is>
      </c>
      <c r="J167" s="4" t="n">
        <v>0</v>
      </c>
      <c r="K167" s="4" t="inlineStr">
        <is>
          <t>庄家方</t>
        </is>
      </c>
    </row>
    <row r="168">
      <c r="A168" s="4" t="n">
        <v>18</v>
      </c>
      <c r="B168" s="4" t="n">
        <v>6</v>
      </c>
      <c r="C168" s="4" t="inlineStr">
        <is>
          <t>单张</t>
        </is>
      </c>
      <c r="D168" s="4" t="inlineStr">
        <is>
          <t>玩2</t>
        </is>
      </c>
      <c r="E168" s="4" t="inlineStr">
        <is>
          <t>♦10</t>
        </is>
      </c>
      <c r="F168" s="4" t="inlineStr">
        <is>
          <t>小王</t>
        </is>
      </c>
      <c r="G168" s="4" t="inlineStr">
        <is>
          <t>大王</t>
        </is>
      </c>
      <c r="H168" s="4" t="inlineStr">
        <is>
          <t>♦9</t>
        </is>
      </c>
      <c r="I168" s="4" t="inlineStr">
        <is>
          <t>玩3</t>
        </is>
      </c>
      <c r="J168" s="4" t="n">
        <v>10</v>
      </c>
      <c r="K168" s="4" t="inlineStr">
        <is>
          <t>抓分方</t>
        </is>
      </c>
    </row>
    <row r="169">
      <c r="A169" s="4" t="n">
        <v>18</v>
      </c>
      <c r="B169" s="4" t="n">
        <v>7</v>
      </c>
      <c r="C169" s="4" t="inlineStr">
        <is>
          <t>单张</t>
        </is>
      </c>
      <c r="D169" s="4" t="inlineStr">
        <is>
          <t>玩3</t>
        </is>
      </c>
      <c r="E169" s="4" t="inlineStr">
        <is>
          <t>♦J</t>
        </is>
      </c>
      <c r="F169" s="4" t="inlineStr">
        <is>
          <t>♦K</t>
        </is>
      </c>
      <c r="G169" s="4" t="inlineStr">
        <is>
          <t>♦Q</t>
        </is>
      </c>
      <c r="H169" s="4" t="inlineStr">
        <is>
          <t>♠K</t>
        </is>
      </c>
      <c r="I169" s="4" t="inlineStr">
        <is>
          <t>玩2</t>
        </is>
      </c>
      <c r="J169" s="4" t="n">
        <v>20</v>
      </c>
      <c r="K169" s="4" t="inlineStr">
        <is>
          <t>庄家方</t>
        </is>
      </c>
    </row>
    <row r="170">
      <c r="A170" s="4" t="n">
        <v>18</v>
      </c>
      <c r="B170" s="4" t="n">
        <v>8</v>
      </c>
      <c r="C170" s="4" t="inlineStr">
        <is>
          <t>单张</t>
        </is>
      </c>
      <c r="D170" s="4" t="inlineStr">
        <is>
          <t>玩2</t>
        </is>
      </c>
      <c r="E170" s="4" t="inlineStr">
        <is>
          <t>♠A</t>
        </is>
      </c>
      <c r="F170" s="4" t="inlineStr">
        <is>
          <t>♣10</t>
        </is>
      </c>
      <c r="G170" s="4" t="inlineStr">
        <is>
          <t>♦2</t>
        </is>
      </c>
      <c r="H170" s="4" t="inlineStr">
        <is>
          <t>♣A</t>
        </is>
      </c>
      <c r="I170" s="4" t="inlineStr">
        <is>
          <t>玩3</t>
        </is>
      </c>
      <c r="J170" s="4" t="n">
        <v>10</v>
      </c>
      <c r="K170" s="4" t="inlineStr">
        <is>
          <t>抓分方</t>
        </is>
      </c>
    </row>
    <row r="171">
      <c r="A171" s="4" t="n">
        <v>19</v>
      </c>
      <c r="B171" s="4" t="n">
        <v>1</v>
      </c>
      <c r="C171" s="4" t="inlineStr">
        <is>
          <t>对子</t>
        </is>
      </c>
      <c r="D171" s="4" t="inlineStr">
        <is>
          <t>玩3</t>
        </is>
      </c>
      <c r="E171" s="4" t="inlineStr">
        <is>
          <t>♠3 ♠A</t>
        </is>
      </c>
      <c r="F171" s="4" t="inlineStr">
        <is>
          <t>♠2 ♠7</t>
        </is>
      </c>
      <c r="G171" s="4" t="inlineStr">
        <is>
          <t>♠8 ♦8</t>
        </is>
      </c>
      <c r="H171" s="4" t="inlineStr">
        <is>
          <t>♠4 ♠K</t>
        </is>
      </c>
      <c r="I171" s="4" t="inlineStr">
        <is>
          <t>玩2</t>
        </is>
      </c>
      <c r="J171" s="4" t="n">
        <v>10</v>
      </c>
      <c r="K171" s="4" t="inlineStr">
        <is>
          <t>抓分方</t>
        </is>
      </c>
    </row>
    <row r="172">
      <c r="A172" s="4" t="n">
        <v>19</v>
      </c>
      <c r="B172" s="4" t="n">
        <v>2</v>
      </c>
      <c r="C172" s="4" t="inlineStr">
        <is>
          <t>对子</t>
        </is>
      </c>
      <c r="D172" s="4" t="inlineStr">
        <is>
          <t>玩2</t>
        </is>
      </c>
      <c r="E172" s="4" t="inlineStr">
        <is>
          <t>♦7 ♦Q</t>
        </is>
      </c>
      <c r="F172" s="4" t="inlineStr">
        <is>
          <t>♦J ♠J</t>
        </is>
      </c>
      <c r="G172" s="4" t="inlineStr">
        <is>
          <t>♦3 ♦9</t>
        </is>
      </c>
      <c r="H172" s="4" t="inlineStr">
        <is>
          <t>♦6 ♦K</t>
        </is>
      </c>
      <c r="I172" s="4" t="inlineStr">
        <is>
          <t>玩4</t>
        </is>
      </c>
      <c r="J172" s="4" t="n">
        <v>10</v>
      </c>
      <c r="K172" s="4" t="inlineStr">
        <is>
          <t>抓分方</t>
        </is>
      </c>
    </row>
    <row r="173">
      <c r="A173" s="4" t="n">
        <v>19</v>
      </c>
      <c r="B173" s="4" t="n">
        <v>3</v>
      </c>
      <c r="C173" s="4" t="inlineStr">
        <is>
          <t>对子</t>
        </is>
      </c>
      <c r="D173" s="4" t="inlineStr">
        <is>
          <t>玩4</t>
        </is>
      </c>
      <c r="E173" s="4" t="inlineStr">
        <is>
          <t>♣2 ♣A</t>
        </is>
      </c>
      <c r="F173" s="4" t="inlineStr">
        <is>
          <t>♣9 ♣Q</t>
        </is>
      </c>
      <c r="G173" s="4" t="inlineStr">
        <is>
          <t>♣5 ♣10</t>
        </is>
      </c>
      <c r="H173" s="4" t="inlineStr">
        <is>
          <t>♣6 ♥6</t>
        </is>
      </c>
      <c r="I173" s="4" t="inlineStr">
        <is>
          <t>玩1</t>
        </is>
      </c>
      <c r="J173" s="4" t="n">
        <v>15</v>
      </c>
      <c r="K173" s="4" t="inlineStr">
        <is>
          <t>庄家方</t>
        </is>
      </c>
    </row>
    <row r="174">
      <c r="A174" s="4" t="n">
        <v>19</v>
      </c>
      <c r="B174" s="4" t="n">
        <v>4</v>
      </c>
      <c r="C174" s="4" t="inlineStr">
        <is>
          <t>单张</t>
        </is>
      </c>
      <c r="D174" s="4" t="inlineStr">
        <is>
          <t>玩1</t>
        </is>
      </c>
      <c r="E174" s="4" t="inlineStr">
        <is>
          <t>♥4</t>
        </is>
      </c>
      <c r="F174" s="4" t="inlineStr">
        <is>
          <t>♥2</t>
        </is>
      </c>
      <c r="G174" s="4" t="inlineStr">
        <is>
          <t>♥3</t>
        </is>
      </c>
      <c r="H174" s="4" t="inlineStr">
        <is>
          <t>♥7</t>
        </is>
      </c>
      <c r="I174" s="4" t="inlineStr">
        <is>
          <t>玩3</t>
        </is>
      </c>
      <c r="J174" s="4" t="n">
        <v>0</v>
      </c>
      <c r="K174" s="4" t="inlineStr">
        <is>
          <t>庄家方</t>
        </is>
      </c>
    </row>
    <row r="175">
      <c r="A175" s="4" t="n">
        <v>19</v>
      </c>
      <c r="B175" s="4" t="n">
        <v>5</v>
      </c>
      <c r="C175" s="4" t="inlineStr">
        <is>
          <t>对子</t>
        </is>
      </c>
      <c r="D175" s="4" t="inlineStr">
        <is>
          <t>玩3</t>
        </is>
      </c>
      <c r="E175" s="4" t="inlineStr">
        <is>
          <t>♥5 ♥9</t>
        </is>
      </c>
      <c r="F175" s="4" t="inlineStr">
        <is>
          <t>♦2 大王</t>
        </is>
      </c>
      <c r="G175" s="4" t="inlineStr">
        <is>
          <t>♥A ♦A</t>
        </is>
      </c>
      <c r="H175" s="4" t="inlineStr">
        <is>
          <t>♣7 ♥8</t>
        </is>
      </c>
      <c r="I175" s="4" t="inlineStr">
        <is>
          <t>玩2</t>
        </is>
      </c>
      <c r="J175" s="4" t="n">
        <v>5</v>
      </c>
      <c r="K175" s="4" t="inlineStr">
        <is>
          <t>抓分方</t>
        </is>
      </c>
    </row>
    <row r="176">
      <c r="A176" s="4" t="n">
        <v>19</v>
      </c>
      <c r="B176" s="4" t="n">
        <v>6</v>
      </c>
      <c r="C176" s="4" t="inlineStr">
        <is>
          <t>单张</t>
        </is>
      </c>
      <c r="D176" s="4" t="inlineStr">
        <is>
          <t>玩2</t>
        </is>
      </c>
      <c r="E176" s="4" t="inlineStr">
        <is>
          <t>♥10</t>
        </is>
      </c>
      <c r="F176" s="4" t="inlineStr">
        <is>
          <t>♠Q</t>
        </is>
      </c>
      <c r="G176" s="4" t="inlineStr">
        <is>
          <t>♠9</t>
        </is>
      </c>
      <c r="H176" s="4" t="inlineStr">
        <is>
          <t>♣8</t>
        </is>
      </c>
      <c r="I176" s="4" t="inlineStr">
        <is>
          <t>玩2</t>
        </is>
      </c>
      <c r="J176" s="4" t="n">
        <v>10</v>
      </c>
      <c r="K176" s="4" t="inlineStr">
        <is>
          <t>抓分方</t>
        </is>
      </c>
    </row>
    <row r="177">
      <c r="A177" s="4" t="n">
        <v>19</v>
      </c>
      <c r="B177" s="4" t="n">
        <v>7</v>
      </c>
      <c r="C177" s="4" t="inlineStr">
        <is>
          <t>单张</t>
        </is>
      </c>
      <c r="D177" s="4" t="inlineStr">
        <is>
          <t>玩2</t>
        </is>
      </c>
      <c r="E177" s="4" t="inlineStr">
        <is>
          <t>♥J</t>
        </is>
      </c>
      <c r="F177" s="4" t="inlineStr">
        <is>
          <t>♦5</t>
        </is>
      </c>
      <c r="G177" s="4" t="inlineStr">
        <is>
          <t>♠5</t>
        </is>
      </c>
      <c r="H177" s="4" t="inlineStr">
        <is>
          <t>小王</t>
        </is>
      </c>
      <c r="I177" s="4" t="inlineStr">
        <is>
          <t>玩4</t>
        </is>
      </c>
      <c r="J177" s="4" t="n">
        <v>10</v>
      </c>
      <c r="K177" s="4" t="inlineStr">
        <is>
          <t>抓分方</t>
        </is>
      </c>
    </row>
    <row r="178">
      <c r="A178" s="4" t="n">
        <v>19</v>
      </c>
      <c r="B178" s="4" t="n">
        <v>8</v>
      </c>
      <c r="C178" s="4" t="inlineStr">
        <is>
          <t>单张</t>
        </is>
      </c>
      <c r="D178" s="4" t="inlineStr">
        <is>
          <t>玩4</t>
        </is>
      </c>
      <c r="E178" s="4" t="inlineStr">
        <is>
          <t>♥K</t>
        </is>
      </c>
      <c r="F178" s="4" t="inlineStr">
        <is>
          <t>♦10</t>
        </is>
      </c>
      <c r="G178" s="4" t="inlineStr">
        <is>
          <t>♣K</t>
        </is>
      </c>
      <c r="H178" s="4" t="inlineStr">
        <is>
          <t>♣J</t>
        </is>
      </c>
      <c r="I178" s="4" t="inlineStr">
        <is>
          <t>玩3</t>
        </is>
      </c>
      <c r="J178" s="4" t="n">
        <v>30</v>
      </c>
      <c r="K178" s="4" t="inlineStr">
        <is>
          <t>庄家方</t>
        </is>
      </c>
    </row>
    <row r="179">
      <c r="A179" s="4" t="n">
        <v>20</v>
      </c>
      <c r="B179" s="4" t="n">
        <v>1</v>
      </c>
      <c r="C179" s="4" t="inlineStr">
        <is>
          <t>对子</t>
        </is>
      </c>
      <c r="D179" s="4" t="inlineStr">
        <is>
          <t>玩4</t>
        </is>
      </c>
      <c r="E179" s="4" t="inlineStr">
        <is>
          <t>♥3 ♥6</t>
        </is>
      </c>
      <c r="F179" s="4" t="inlineStr">
        <is>
          <t>♥5 ♥9</t>
        </is>
      </c>
      <c r="G179" s="4" t="inlineStr">
        <is>
          <t>♥2 ♥4</t>
        </is>
      </c>
      <c r="H179" s="4" t="inlineStr">
        <is>
          <t>♥J ♣J</t>
        </is>
      </c>
      <c r="I179" s="4" t="inlineStr">
        <is>
          <t>玩1</t>
        </is>
      </c>
      <c r="J179" s="4" t="n">
        <v>5</v>
      </c>
      <c r="K179" s="4" t="inlineStr">
        <is>
          <t>抓分方</t>
        </is>
      </c>
    </row>
    <row r="180">
      <c r="A180" s="4" t="n">
        <v>20</v>
      </c>
      <c r="B180" s="4" t="n">
        <v>2</v>
      </c>
      <c r="C180" s="4" t="inlineStr">
        <is>
          <t>对子</t>
        </is>
      </c>
      <c r="D180" s="4" t="inlineStr">
        <is>
          <t>玩1</t>
        </is>
      </c>
      <c r="E180" s="4" t="inlineStr">
        <is>
          <t>♦9 ♠9</t>
        </is>
      </c>
      <c r="F180" s="4" t="inlineStr">
        <is>
          <t>♦J ♦K</t>
        </is>
      </c>
      <c r="G180" s="4" t="inlineStr">
        <is>
          <t>♦2 ♦10</t>
        </is>
      </c>
      <c r="H180" s="4" t="inlineStr">
        <is>
          <t>♦5 ♦Q</t>
        </is>
      </c>
      <c r="I180" s="4" t="inlineStr">
        <is>
          <t>玩3</t>
        </is>
      </c>
      <c r="J180" s="4" t="n">
        <v>25</v>
      </c>
      <c r="K180" s="4" t="inlineStr">
        <is>
          <t>抓分方</t>
        </is>
      </c>
    </row>
    <row r="181">
      <c r="A181" s="4" t="n">
        <v>20</v>
      </c>
      <c r="B181" s="4" t="n">
        <v>3</v>
      </c>
      <c r="C181" s="4" t="inlineStr">
        <is>
          <t>对子</t>
        </is>
      </c>
      <c r="D181" s="4" t="inlineStr">
        <is>
          <t>玩3</t>
        </is>
      </c>
      <c r="E181" s="4" t="inlineStr">
        <is>
          <t>♠2 ♠5</t>
        </is>
      </c>
      <c r="F181" s="4" t="inlineStr">
        <is>
          <t>♠4 ♠6</t>
        </is>
      </c>
      <c r="G181" s="4" t="inlineStr">
        <is>
          <t>♠8 ♣8</t>
        </is>
      </c>
      <c r="H181" s="4" t="inlineStr">
        <is>
          <t>♣5 ♣6</t>
        </is>
      </c>
      <c r="I181" s="4" t="inlineStr">
        <is>
          <t>玩1</t>
        </is>
      </c>
      <c r="J181" s="4" t="n">
        <v>10</v>
      </c>
      <c r="K181" s="4" t="inlineStr">
        <is>
          <t>抓分方</t>
        </is>
      </c>
    </row>
    <row r="182">
      <c r="A182" s="4" t="n">
        <v>20</v>
      </c>
      <c r="B182" s="4" t="n">
        <v>4</v>
      </c>
      <c r="C182" s="4" t="inlineStr">
        <is>
          <t>对子</t>
        </is>
      </c>
      <c r="D182" s="4" t="inlineStr">
        <is>
          <t>玩1</t>
        </is>
      </c>
      <c r="E182" s="4" t="inlineStr">
        <is>
          <t>♣4 ♦4</t>
        </is>
      </c>
      <c r="F182" s="4" t="inlineStr">
        <is>
          <t>♣2 ♣3</t>
        </is>
      </c>
      <c r="G182" s="4" t="inlineStr">
        <is>
          <t>♠3 ♥7</t>
        </is>
      </c>
      <c r="H182" s="4" t="inlineStr">
        <is>
          <t>♣9 ♣10</t>
        </is>
      </c>
      <c r="I182" s="4" t="inlineStr">
        <is>
          <t>玩2</t>
        </is>
      </c>
      <c r="J182" s="4" t="n">
        <v>10</v>
      </c>
      <c r="K182" s="4" t="inlineStr">
        <is>
          <t>庄家方</t>
        </is>
      </c>
    </row>
    <row r="183">
      <c r="A183" s="4" t="n">
        <v>20</v>
      </c>
      <c r="B183" s="4" t="n">
        <v>5</v>
      </c>
      <c r="C183" s="4" t="inlineStr">
        <is>
          <t>对子</t>
        </is>
      </c>
      <c r="D183" s="4" t="inlineStr">
        <is>
          <t>玩2</t>
        </is>
      </c>
      <c r="E183" s="4" t="inlineStr">
        <is>
          <t>小王</t>
        </is>
      </c>
      <c r="F183" s="4" t="inlineStr">
        <is>
          <t>♥Q ♠Q</t>
        </is>
      </c>
      <c r="G183" s="4" t="inlineStr">
        <is>
          <t>♣Q ♠K</t>
        </is>
      </c>
      <c r="H183" s="4" t="inlineStr">
        <is>
          <t>♠7 ♥10</t>
        </is>
      </c>
      <c r="I183" s="4" t="inlineStr">
        <is>
          <t>玩1</t>
        </is>
      </c>
      <c r="J183" s="4" t="n">
        <v>20</v>
      </c>
      <c r="K183" s="4" t="inlineStr">
        <is>
          <t>抓分方</t>
        </is>
      </c>
    </row>
    <row r="184">
      <c r="A184" s="4" t="n">
        <v>20</v>
      </c>
      <c r="B184" s="4" t="n">
        <v>6</v>
      </c>
      <c r="C184" s="4" t="inlineStr">
        <is>
          <t>单张</t>
        </is>
      </c>
      <c r="D184" s="4" t="inlineStr">
        <is>
          <t>玩1</t>
        </is>
      </c>
      <c r="E184" s="4" t="inlineStr">
        <is>
          <t>♦3</t>
        </is>
      </c>
      <c r="F184" s="4" t="inlineStr">
        <is>
          <t>♠10</t>
        </is>
      </c>
      <c r="G184" s="4" t="inlineStr">
        <is>
          <t>♦A</t>
        </is>
      </c>
      <c r="H184" s="4" t="inlineStr">
        <is>
          <t>♣K</t>
        </is>
      </c>
      <c r="I184" s="4" t="inlineStr">
        <is>
          <t>玩3</t>
        </is>
      </c>
      <c r="J184" s="4" t="n">
        <v>20</v>
      </c>
      <c r="K184" s="4" t="inlineStr">
        <is>
          <t>抓分方</t>
        </is>
      </c>
    </row>
    <row r="185">
      <c r="A185" s="4" t="n">
        <v>20</v>
      </c>
      <c r="B185" s="4" t="n">
        <v>7</v>
      </c>
      <c r="C185" s="4" t="inlineStr">
        <is>
          <t>单张</t>
        </is>
      </c>
      <c r="D185" s="4" t="inlineStr">
        <is>
          <t>玩3</t>
        </is>
      </c>
      <c r="E185" s="4" t="inlineStr">
        <is>
          <t>♦6</t>
        </is>
      </c>
      <c r="F185" s="4" t="inlineStr">
        <is>
          <t>♥K</t>
        </is>
      </c>
      <c r="G185" s="4" t="inlineStr">
        <is>
          <t>大王</t>
        </is>
      </c>
      <c r="H185" s="4" t="inlineStr">
        <is>
          <t>♣A</t>
        </is>
      </c>
      <c r="I185" s="4" t="inlineStr">
        <is>
          <t>玩3</t>
        </is>
      </c>
      <c r="J185" s="4" t="n">
        <v>10</v>
      </c>
      <c r="K185" s="4" t="inlineStr">
        <is>
          <t>抓分方</t>
        </is>
      </c>
    </row>
    <row r="186">
      <c r="A186" s="4" t="n">
        <v>20</v>
      </c>
      <c r="B186" s="4" t="n">
        <v>8</v>
      </c>
      <c r="C186" s="4" t="inlineStr">
        <is>
          <t>单张</t>
        </is>
      </c>
      <c r="D186" s="4" t="inlineStr">
        <is>
          <t>玩3</t>
        </is>
      </c>
      <c r="E186" s="4" t="inlineStr">
        <is>
          <t>♠J</t>
        </is>
      </c>
      <c r="F186" s="4" t="inlineStr">
        <is>
          <t>无</t>
        </is>
      </c>
      <c r="G186" s="4" t="inlineStr">
        <is>
          <t>无</t>
        </is>
      </c>
      <c r="H186" s="4" t="inlineStr">
        <is>
          <t>无</t>
        </is>
      </c>
      <c r="I186" s="4" t="inlineStr">
        <is>
          <t>玩1</t>
        </is>
      </c>
      <c r="J186" s="4" t="n">
        <v>0</v>
      </c>
      <c r="K186" s="4" t="inlineStr">
        <is>
          <t>抓分方</t>
        </is>
      </c>
    </row>
    <row r="187">
      <c r="A187" s="4" t="n">
        <v>21</v>
      </c>
      <c r="B187" s="4" t="n">
        <v>1</v>
      </c>
      <c r="C187" s="4" t="inlineStr">
        <is>
          <t>对子</t>
        </is>
      </c>
      <c r="D187" s="4" t="inlineStr">
        <is>
          <t>玩1</t>
        </is>
      </c>
      <c r="E187" s="4" t="inlineStr">
        <is>
          <t>♠7 ♣7</t>
        </is>
      </c>
      <c r="F187" s="4" t="inlineStr">
        <is>
          <t>♠4 ♠9</t>
        </is>
      </c>
      <c r="G187" s="4" t="inlineStr">
        <is>
          <t>♠3 ♠6</t>
        </is>
      </c>
      <c r="H187" s="4" t="inlineStr">
        <is>
          <t>♠2 ♠8</t>
        </is>
      </c>
      <c r="I187" s="4" t="inlineStr">
        <is>
          <t>玩4</t>
        </is>
      </c>
      <c r="J187" s="4" t="n">
        <v>0</v>
      </c>
      <c r="K187" s="4" t="inlineStr">
        <is>
          <t>抓分方</t>
        </is>
      </c>
    </row>
    <row r="188">
      <c r="A188" s="4" t="n">
        <v>21</v>
      </c>
      <c r="B188" s="4" t="n">
        <v>2</v>
      </c>
      <c r="C188" s="4" t="inlineStr">
        <is>
          <t>对子</t>
        </is>
      </c>
      <c r="D188" s="4" t="inlineStr">
        <is>
          <t>玩4</t>
        </is>
      </c>
      <c r="E188" s="4" t="inlineStr">
        <is>
          <t>♦10 ♦J</t>
        </is>
      </c>
      <c r="F188" s="4" t="inlineStr">
        <is>
          <t>♦2 ♦7</t>
        </is>
      </c>
      <c r="G188" s="4" t="inlineStr">
        <is>
          <t>♦4 ♦5</t>
        </is>
      </c>
      <c r="H188" s="4" t="inlineStr">
        <is>
          <t>♦9 ♥9</t>
        </is>
      </c>
      <c r="I188" s="4" t="inlineStr">
        <is>
          <t>玩2</t>
        </is>
      </c>
      <c r="J188" s="4" t="n">
        <v>15</v>
      </c>
      <c r="K188" s="4" t="inlineStr">
        <is>
          <t>抓分方</t>
        </is>
      </c>
    </row>
    <row r="189">
      <c r="A189" s="4" t="n">
        <v>21</v>
      </c>
      <c r="B189" s="4" t="n">
        <v>3</v>
      </c>
      <c r="C189" s="4" t="inlineStr">
        <is>
          <t>单张</t>
        </is>
      </c>
      <c r="D189" s="4" t="inlineStr">
        <is>
          <t>玩2</t>
        </is>
      </c>
      <c r="E189" s="4" t="inlineStr">
        <is>
          <t>♦K</t>
        </is>
      </c>
      <c r="F189" s="4" t="inlineStr">
        <is>
          <t>♦8</t>
        </is>
      </c>
      <c r="G189" s="4" t="inlineStr">
        <is>
          <t>♦6</t>
        </is>
      </c>
      <c r="H189" s="4" t="inlineStr">
        <is>
          <t>♦3</t>
        </is>
      </c>
      <c r="I189" s="4" t="inlineStr">
        <is>
          <t>玩1</t>
        </is>
      </c>
      <c r="J189" s="4" t="n">
        <v>10</v>
      </c>
      <c r="K189" s="4" t="inlineStr">
        <is>
          <t>庄家方</t>
        </is>
      </c>
    </row>
    <row r="190">
      <c r="A190" s="4" t="n">
        <v>21</v>
      </c>
      <c r="B190" s="4" t="n">
        <v>4</v>
      </c>
      <c r="C190" s="4" t="inlineStr">
        <is>
          <t>单张</t>
        </is>
      </c>
      <c r="D190" s="4" t="inlineStr">
        <is>
          <t>玩1</t>
        </is>
      </c>
      <c r="E190" s="4" t="inlineStr">
        <is>
          <t>♣4</t>
        </is>
      </c>
      <c r="F190" s="4" t="inlineStr">
        <is>
          <t>♣2</t>
        </is>
      </c>
      <c r="G190" s="4" t="inlineStr">
        <is>
          <t>♣6</t>
        </is>
      </c>
      <c r="H190" s="4" t="inlineStr">
        <is>
          <t>♣J</t>
        </is>
      </c>
      <c r="I190" s="4" t="inlineStr">
        <is>
          <t>玩2</t>
        </is>
      </c>
      <c r="J190" s="4" t="n">
        <v>0</v>
      </c>
      <c r="K190" s="4" t="inlineStr">
        <is>
          <t>抓分方</t>
        </is>
      </c>
    </row>
    <row r="191">
      <c r="A191" s="4" t="n">
        <v>21</v>
      </c>
      <c r="B191" s="4" t="n">
        <v>5</v>
      </c>
      <c r="C191" s="4" t="inlineStr">
        <is>
          <t>单张</t>
        </is>
      </c>
      <c r="D191" s="4" t="inlineStr">
        <is>
          <t>玩2</t>
        </is>
      </c>
      <c r="E191" s="4" t="inlineStr">
        <is>
          <t>♣K</t>
        </is>
      </c>
      <c r="F191" s="4" t="inlineStr">
        <is>
          <t>♣9</t>
        </is>
      </c>
      <c r="G191" s="4" t="inlineStr">
        <is>
          <t>♣A</t>
        </is>
      </c>
      <c r="H191" s="4" t="inlineStr">
        <is>
          <t>♣5</t>
        </is>
      </c>
      <c r="I191" s="4" t="inlineStr">
        <is>
          <t>玩3</t>
        </is>
      </c>
      <c r="J191" s="4" t="n">
        <v>15</v>
      </c>
      <c r="K191" s="4" t="inlineStr">
        <is>
          <t>庄家方</t>
        </is>
      </c>
    </row>
    <row r="192">
      <c r="A192" s="4" t="n">
        <v>21</v>
      </c>
      <c r="B192" s="4" t="n">
        <v>6</v>
      </c>
      <c r="C192" s="4" t="inlineStr">
        <is>
          <t>单张</t>
        </is>
      </c>
      <c r="D192" s="4" t="inlineStr">
        <is>
          <t>玩3</t>
        </is>
      </c>
      <c r="E192" s="4" t="inlineStr">
        <is>
          <t>♥2</t>
        </is>
      </c>
      <c r="F192" s="4" t="inlineStr">
        <is>
          <t>♥J</t>
        </is>
      </c>
      <c r="G192" s="4" t="inlineStr">
        <is>
          <t>♥6</t>
        </is>
      </c>
      <c r="H192" s="4" t="inlineStr">
        <is>
          <t>♥4</t>
        </is>
      </c>
      <c r="I192" s="4" t="inlineStr">
        <is>
          <t>玩1</t>
        </is>
      </c>
      <c r="J192" s="4" t="n">
        <v>0</v>
      </c>
      <c r="K192" s="4" t="inlineStr">
        <is>
          <t>庄家方</t>
        </is>
      </c>
    </row>
    <row r="193">
      <c r="A193" s="4" t="n">
        <v>21</v>
      </c>
      <c r="B193" s="4" t="n">
        <v>7</v>
      </c>
      <c r="C193" s="4" t="inlineStr">
        <is>
          <t>单张</t>
        </is>
      </c>
      <c r="D193" s="4" t="inlineStr">
        <is>
          <t>玩1</t>
        </is>
      </c>
      <c r="E193" s="4" t="inlineStr">
        <is>
          <t>♠A</t>
        </is>
      </c>
      <c r="F193" s="4" t="inlineStr">
        <is>
          <t>♣10</t>
        </is>
      </c>
      <c r="G193" s="4" t="inlineStr">
        <is>
          <t>♥7</t>
        </is>
      </c>
      <c r="H193" s="4" t="inlineStr">
        <is>
          <t>♠10</t>
        </is>
      </c>
      <c r="I193" s="4" t="inlineStr">
        <is>
          <t>玩1</t>
        </is>
      </c>
      <c r="J193" s="4" t="n">
        <v>20</v>
      </c>
      <c r="K193" s="4" t="inlineStr">
        <is>
          <t>庄家方</t>
        </is>
      </c>
    </row>
    <row r="194">
      <c r="A194" s="4" t="n">
        <v>21</v>
      </c>
      <c r="B194" s="4" t="n">
        <v>8</v>
      </c>
      <c r="C194" s="4" t="inlineStr">
        <is>
          <t>单张</t>
        </is>
      </c>
      <c r="D194" s="4" t="inlineStr">
        <is>
          <t>玩1</t>
        </is>
      </c>
      <c r="E194" s="4" t="inlineStr">
        <is>
          <t>小王</t>
        </is>
      </c>
      <c r="F194" s="4" t="inlineStr">
        <is>
          <t>大王</t>
        </is>
      </c>
      <c r="G194" s="4" t="inlineStr">
        <is>
          <t>♥8</t>
        </is>
      </c>
      <c r="H194" s="4" t="inlineStr">
        <is>
          <t>♥5</t>
        </is>
      </c>
      <c r="I194" s="4" t="inlineStr">
        <is>
          <t>玩2</t>
        </is>
      </c>
      <c r="J194" s="4" t="n">
        <v>5</v>
      </c>
      <c r="K194" s="4" t="inlineStr">
        <is>
          <t>抓分方</t>
        </is>
      </c>
    </row>
    <row r="195">
      <c r="A195" s="4" t="n">
        <v>21</v>
      </c>
      <c r="B195" s="4" t="n">
        <v>9</v>
      </c>
      <c r="C195" s="4" t="inlineStr">
        <is>
          <t>单张</t>
        </is>
      </c>
      <c r="D195" s="4" t="inlineStr">
        <is>
          <t>玩2</t>
        </is>
      </c>
      <c r="E195" s="4" t="inlineStr">
        <is>
          <t>♥3</t>
        </is>
      </c>
      <c r="F195" s="4" t="inlineStr">
        <is>
          <t>♥Q</t>
        </is>
      </c>
      <c r="G195" s="4" t="inlineStr">
        <is>
          <t>♦Q</t>
        </is>
      </c>
      <c r="H195" s="4" t="inlineStr">
        <is>
          <t>♥K</t>
        </is>
      </c>
      <c r="I195" s="4" t="inlineStr">
        <is>
          <t>玩1</t>
        </is>
      </c>
      <c r="J195" s="4" t="n">
        <v>10</v>
      </c>
      <c r="K195" s="4" t="inlineStr">
        <is>
          <t>庄家方</t>
        </is>
      </c>
    </row>
    <row r="196">
      <c r="A196" s="4" t="n">
        <v>21</v>
      </c>
      <c r="B196" s="4" t="n">
        <v>10</v>
      </c>
      <c r="C196" s="4" t="inlineStr">
        <is>
          <t>单张</t>
        </is>
      </c>
      <c r="D196" s="4" t="inlineStr">
        <is>
          <t>玩1</t>
        </is>
      </c>
      <c r="E196" s="4" t="inlineStr">
        <is>
          <t>♠5</t>
        </is>
      </c>
      <c r="F196" s="4" t="inlineStr">
        <is>
          <t>♥A</t>
        </is>
      </c>
      <c r="G196" s="4" t="inlineStr">
        <is>
          <t>♦A</t>
        </is>
      </c>
      <c r="H196" s="4" t="inlineStr">
        <is>
          <t>♠K</t>
        </is>
      </c>
      <c r="I196" s="4" t="inlineStr">
        <is>
          <t>玩4</t>
        </is>
      </c>
      <c r="J196" s="4" t="n">
        <v>15</v>
      </c>
      <c r="K196" s="4" t="inlineStr">
        <is>
          <t>抓分方</t>
        </is>
      </c>
    </row>
    <row r="197">
      <c r="A197" s="4" t="n">
        <v>22</v>
      </c>
      <c r="B197" s="4" t="n">
        <v>1</v>
      </c>
      <c r="C197" s="4" t="inlineStr">
        <is>
          <t>对子</t>
        </is>
      </c>
      <c r="D197" s="4" t="inlineStr">
        <is>
          <t>玩2</t>
        </is>
      </c>
      <c r="E197" s="4" t="inlineStr">
        <is>
          <t>♣8 ♣J</t>
        </is>
      </c>
      <c r="F197" s="4" t="inlineStr">
        <is>
          <t>♣4 ♦4</t>
        </is>
      </c>
      <c r="G197" s="4" t="inlineStr">
        <is>
          <t>♦3 ♠4</t>
        </is>
      </c>
      <c r="H197" s="4" t="inlineStr">
        <is>
          <t>♣7 ♣9</t>
        </is>
      </c>
      <c r="I197" s="4" t="inlineStr">
        <is>
          <t>玩1</t>
        </is>
      </c>
      <c r="J197" s="4" t="n">
        <v>0</v>
      </c>
      <c r="K197" s="4" t="inlineStr">
        <is>
          <t>抓分方</t>
        </is>
      </c>
    </row>
    <row r="198">
      <c r="A198" s="4" t="n">
        <v>22</v>
      </c>
      <c r="B198" s="4" t="n">
        <v>2</v>
      </c>
      <c r="C198" s="4" t="inlineStr">
        <is>
          <t>对子</t>
        </is>
      </c>
      <c r="D198" s="4" t="inlineStr">
        <is>
          <t>玩1</t>
        </is>
      </c>
      <c r="E198" s="4" t="inlineStr">
        <is>
          <t>♠8 ♥8</t>
        </is>
      </c>
      <c r="F198" s="4" t="inlineStr">
        <is>
          <t>♠6 ♠Q</t>
        </is>
      </c>
      <c r="G198" s="4" t="inlineStr">
        <is>
          <t>♠2 ♠5</t>
        </is>
      </c>
      <c r="H198" s="4" t="inlineStr">
        <is>
          <t>♠10 ♠K</t>
        </is>
      </c>
      <c r="I198" s="4" t="inlineStr">
        <is>
          <t>玩3</t>
        </is>
      </c>
      <c r="J198" s="4" t="n">
        <v>25</v>
      </c>
      <c r="K198" s="4" t="inlineStr">
        <is>
          <t>抓分方</t>
        </is>
      </c>
    </row>
    <row r="199">
      <c r="A199" s="4" t="n">
        <v>22</v>
      </c>
      <c r="B199" s="4" t="n">
        <v>3</v>
      </c>
      <c r="C199" s="4" t="inlineStr">
        <is>
          <t>对子</t>
        </is>
      </c>
      <c r="D199" s="4" t="inlineStr">
        <is>
          <t>玩3</t>
        </is>
      </c>
      <c r="E199" s="4" t="inlineStr">
        <is>
          <t>♦5 ♥5</t>
        </is>
      </c>
      <c r="F199" s="4" t="inlineStr">
        <is>
          <t>♣2 大王</t>
        </is>
      </c>
      <c r="G199" s="4" t="inlineStr">
        <is>
          <t>♠9 ♥9</t>
        </is>
      </c>
      <c r="H199" s="4" t="inlineStr">
        <is>
          <t>♥4 ♦6</t>
        </is>
      </c>
      <c r="I199" s="4" t="inlineStr">
        <is>
          <t>玩2</t>
        </is>
      </c>
      <c r="J199" s="4" t="n">
        <v>10</v>
      </c>
      <c r="K199" s="4" t="inlineStr">
        <is>
          <t>庄家方</t>
        </is>
      </c>
    </row>
    <row r="200">
      <c r="A200" s="4" t="n">
        <v>22</v>
      </c>
      <c r="B200" s="4" t="n">
        <v>4</v>
      </c>
      <c r="C200" s="4" t="inlineStr">
        <is>
          <t>对子</t>
        </is>
      </c>
      <c r="D200" s="4" t="inlineStr">
        <is>
          <t>玩2</t>
        </is>
      </c>
      <c r="E200" s="4" t="inlineStr">
        <is>
          <t>♦Q ♦A</t>
        </is>
      </c>
      <c r="F200" s="4" t="inlineStr">
        <is>
          <t>♦J ♥J</t>
        </is>
      </c>
      <c r="G200" s="4" t="inlineStr">
        <is>
          <t>♦8 ♦10</t>
        </is>
      </c>
      <c r="H200" s="4" t="inlineStr">
        <is>
          <t>♦7 ♥10</t>
        </is>
      </c>
      <c r="I200" s="4" t="inlineStr">
        <is>
          <t>玩1</t>
        </is>
      </c>
      <c r="J200" s="4" t="n">
        <v>20</v>
      </c>
      <c r="K200" s="4" t="inlineStr">
        <is>
          <t>抓分方</t>
        </is>
      </c>
    </row>
    <row r="201">
      <c r="A201" s="4" t="n">
        <v>22</v>
      </c>
      <c r="B201" s="4" t="n">
        <v>5</v>
      </c>
      <c r="C201" s="4" t="inlineStr">
        <is>
          <t>单张</t>
        </is>
      </c>
      <c r="D201" s="4" t="inlineStr">
        <is>
          <t>玩1</t>
        </is>
      </c>
      <c r="E201" s="4" t="inlineStr">
        <is>
          <t>♥6</t>
        </is>
      </c>
      <c r="F201" s="4" t="inlineStr">
        <is>
          <t>♥K</t>
        </is>
      </c>
      <c r="G201" s="4" t="inlineStr">
        <is>
          <t>♥A</t>
        </is>
      </c>
      <c r="H201" s="4" t="inlineStr">
        <is>
          <t>♣10</t>
        </is>
      </c>
      <c r="I201" s="4" t="inlineStr">
        <is>
          <t>玩3</t>
        </is>
      </c>
      <c r="J201" s="4" t="n">
        <v>20</v>
      </c>
      <c r="K201" s="4" t="inlineStr">
        <is>
          <t>抓分方</t>
        </is>
      </c>
    </row>
    <row r="202">
      <c r="A202" s="4" t="n">
        <v>22</v>
      </c>
      <c r="B202" s="4" t="n">
        <v>6</v>
      </c>
      <c r="C202" s="4" t="inlineStr">
        <is>
          <t>单张</t>
        </is>
      </c>
      <c r="D202" s="4" t="inlineStr">
        <is>
          <t>玩3</t>
        </is>
      </c>
      <c r="E202" s="4" t="inlineStr">
        <is>
          <t>♠7</t>
        </is>
      </c>
      <c r="F202" s="4" t="inlineStr">
        <is>
          <t>♣Q</t>
        </is>
      </c>
      <c r="G202" s="4" t="inlineStr">
        <is>
          <t>♣6</t>
        </is>
      </c>
      <c r="H202" s="4" t="inlineStr">
        <is>
          <t>♣A</t>
        </is>
      </c>
      <c r="I202" s="4" t="inlineStr">
        <is>
          <t>玩4</t>
        </is>
      </c>
      <c r="J202" s="4" t="n">
        <v>0</v>
      </c>
      <c r="K202" s="4" t="inlineStr">
        <is>
          <t>庄家方</t>
        </is>
      </c>
    </row>
    <row r="203">
      <c r="A203" s="4" t="n">
        <v>22</v>
      </c>
      <c r="B203" s="4" t="n">
        <v>7</v>
      </c>
      <c r="C203" s="4" t="inlineStr">
        <is>
          <t>单张</t>
        </is>
      </c>
      <c r="D203" s="4" t="inlineStr">
        <is>
          <t>玩4</t>
        </is>
      </c>
      <c r="E203" s="4" t="inlineStr">
        <is>
          <t>♥2</t>
        </is>
      </c>
      <c r="F203" s="4" t="inlineStr">
        <is>
          <t>♣5</t>
        </is>
      </c>
      <c r="G203" s="4" t="inlineStr">
        <is>
          <t>♥7</t>
        </is>
      </c>
      <c r="H203" s="4" t="inlineStr">
        <is>
          <t>♠A</t>
        </is>
      </c>
      <c r="I203" s="4" t="inlineStr">
        <is>
          <t>玩1</t>
        </is>
      </c>
      <c r="J203" s="4" t="n">
        <v>5</v>
      </c>
      <c r="K203" s="4" t="inlineStr">
        <is>
          <t>抓分方</t>
        </is>
      </c>
    </row>
    <row r="204">
      <c r="A204" s="4" t="n">
        <v>22</v>
      </c>
      <c r="B204" s="4" t="n">
        <v>8</v>
      </c>
      <c r="C204" s="4" t="inlineStr">
        <is>
          <t>单张</t>
        </is>
      </c>
      <c r="D204" s="4" t="inlineStr">
        <is>
          <t>玩1</t>
        </is>
      </c>
      <c r="E204" s="4" t="inlineStr">
        <is>
          <t>♥3</t>
        </is>
      </c>
      <c r="F204" s="4" t="inlineStr">
        <is>
          <t>♦K</t>
        </is>
      </c>
      <c r="G204" s="4" t="inlineStr">
        <is>
          <t>♥Q</t>
        </is>
      </c>
      <c r="H204" s="4" t="inlineStr">
        <is>
          <t>♣K</t>
        </is>
      </c>
      <c r="I204" s="4" t="inlineStr">
        <is>
          <t>玩1</t>
        </is>
      </c>
      <c r="J204" s="4" t="n">
        <v>20</v>
      </c>
      <c r="K204" s="4" t="inlineStr">
        <is>
          <t>抓分方</t>
        </is>
      </c>
    </row>
    <row r="205">
      <c r="A205" s="4" t="n">
        <v>23</v>
      </c>
      <c r="B205" s="4" t="n">
        <v>1</v>
      </c>
      <c r="C205" s="4" t="inlineStr">
        <is>
          <t>对子</t>
        </is>
      </c>
      <c r="D205" s="4" t="inlineStr">
        <is>
          <t>玩3</t>
        </is>
      </c>
      <c r="E205" s="4" t="inlineStr">
        <is>
          <t>♣2 ♣3</t>
        </is>
      </c>
      <c r="F205" s="4" t="inlineStr">
        <is>
          <t>♣6 ♣10</t>
        </is>
      </c>
      <c r="G205" s="4" t="inlineStr">
        <is>
          <t>♣J ♥J</t>
        </is>
      </c>
      <c r="H205" s="4" t="inlineStr">
        <is>
          <t>♣7 ♣Q</t>
        </is>
      </c>
      <c r="I205" s="4" t="inlineStr">
        <is>
          <t>玩1</t>
        </is>
      </c>
      <c r="J205" s="4" t="n">
        <v>10</v>
      </c>
      <c r="K205" s="4" t="inlineStr">
        <is>
          <t>庄家方</t>
        </is>
      </c>
    </row>
    <row r="206">
      <c r="A206" s="4" t="n">
        <v>23</v>
      </c>
      <c r="B206" s="4" t="n">
        <v>2</v>
      </c>
      <c r="C206" s="4" t="inlineStr">
        <is>
          <t>单张</t>
        </is>
      </c>
      <c r="D206" s="4" t="inlineStr">
        <is>
          <t>玩1</t>
        </is>
      </c>
      <c r="E206" s="4" t="inlineStr">
        <is>
          <t>♦6</t>
        </is>
      </c>
      <c r="F206" s="4" t="inlineStr">
        <is>
          <t>♦2</t>
        </is>
      </c>
      <c r="G206" s="4" t="inlineStr">
        <is>
          <t>♥8</t>
        </is>
      </c>
      <c r="H206" s="4" t="inlineStr">
        <is>
          <t>♦4</t>
        </is>
      </c>
      <c r="I206" s="4" t="inlineStr">
        <is>
          <t>玩2</t>
        </is>
      </c>
      <c r="J206" s="4" t="n">
        <v>0</v>
      </c>
      <c r="K206" s="4" t="inlineStr">
        <is>
          <t>抓分方</t>
        </is>
      </c>
    </row>
    <row r="207">
      <c r="A207" s="4" t="n">
        <v>23</v>
      </c>
      <c r="B207" s="4" t="n">
        <v>3</v>
      </c>
      <c r="C207" s="4" t="inlineStr">
        <is>
          <t>对子</t>
        </is>
      </c>
      <c r="D207" s="4" t="inlineStr">
        <is>
          <t>玩2</t>
        </is>
      </c>
      <c r="E207" s="4" t="inlineStr">
        <is>
          <t>♦9 ♦10</t>
        </is>
      </c>
      <c r="F207" s="4" t="inlineStr">
        <is>
          <t>♦3 ♥3</t>
        </is>
      </c>
      <c r="G207" s="4" t="inlineStr">
        <is>
          <t>♠9 ♣9</t>
        </is>
      </c>
      <c r="H207" s="4" t="inlineStr">
        <is>
          <t>♦5 ♦7</t>
        </is>
      </c>
      <c r="I207" s="4" t="inlineStr">
        <is>
          <t>玩2</t>
        </is>
      </c>
      <c r="J207" s="4" t="n">
        <v>15</v>
      </c>
      <c r="K207" s="4" t="inlineStr">
        <is>
          <t>抓分方</t>
        </is>
      </c>
    </row>
    <row r="208">
      <c r="A208" s="4" t="n">
        <v>23</v>
      </c>
      <c r="B208" s="4" t="n">
        <v>4</v>
      </c>
      <c r="C208" s="4" t="inlineStr">
        <is>
          <t>单张</t>
        </is>
      </c>
      <c r="D208" s="4" t="inlineStr">
        <is>
          <t>玩2</t>
        </is>
      </c>
      <c r="E208" s="4" t="inlineStr">
        <is>
          <t>♠J</t>
        </is>
      </c>
      <c r="F208" s="4" t="inlineStr">
        <is>
          <t>♠6</t>
        </is>
      </c>
      <c r="G208" s="4" t="inlineStr">
        <is>
          <t>♠Q</t>
        </is>
      </c>
      <c r="H208" s="4" t="inlineStr">
        <is>
          <t>♠2</t>
        </is>
      </c>
      <c r="I208" s="4" t="inlineStr">
        <is>
          <t>玩4</t>
        </is>
      </c>
      <c r="J208" s="4" t="n">
        <v>0</v>
      </c>
      <c r="K208" s="4" t="inlineStr">
        <is>
          <t>抓分方</t>
        </is>
      </c>
    </row>
    <row r="209">
      <c r="A209" s="4" t="n">
        <v>23</v>
      </c>
      <c r="B209" s="4" t="n">
        <v>5</v>
      </c>
      <c r="C209" s="4" t="inlineStr">
        <is>
          <t>单张</t>
        </is>
      </c>
      <c r="D209" s="4" t="inlineStr">
        <is>
          <t>玩4</t>
        </is>
      </c>
      <c r="E209" s="4" t="inlineStr">
        <is>
          <t>♠5</t>
        </is>
      </c>
      <c r="F209" s="4" t="inlineStr">
        <is>
          <t>♠7</t>
        </is>
      </c>
      <c r="G209" s="4" t="inlineStr">
        <is>
          <t>♠A</t>
        </is>
      </c>
      <c r="H209" s="4" t="inlineStr">
        <is>
          <t>♠3</t>
        </is>
      </c>
      <c r="I209" s="4" t="inlineStr">
        <is>
          <t>玩3</t>
        </is>
      </c>
      <c r="J209" s="4" t="n">
        <v>5</v>
      </c>
      <c r="K209" s="4" t="inlineStr">
        <is>
          <t>庄家方</t>
        </is>
      </c>
    </row>
    <row r="210">
      <c r="A210" s="4" t="n">
        <v>23</v>
      </c>
      <c r="B210" s="4" t="n">
        <v>6</v>
      </c>
      <c r="C210" s="4" t="inlineStr">
        <is>
          <t>单张</t>
        </is>
      </c>
      <c r="D210" s="4" t="inlineStr">
        <is>
          <t>玩3</t>
        </is>
      </c>
      <c r="E210" s="4" t="inlineStr">
        <is>
          <t>♥7</t>
        </is>
      </c>
      <c r="F210" s="4" t="inlineStr">
        <is>
          <t>♥9</t>
        </is>
      </c>
      <c r="G210" s="4" t="inlineStr">
        <is>
          <t>♥A</t>
        </is>
      </c>
      <c r="H210" s="4" t="inlineStr">
        <is>
          <t>♠8</t>
        </is>
      </c>
      <c r="I210" s="4" t="inlineStr">
        <is>
          <t>玩3</t>
        </is>
      </c>
      <c r="J210" s="4" t="n">
        <v>0</v>
      </c>
      <c r="K210" s="4" t="inlineStr">
        <is>
          <t>庄家方</t>
        </is>
      </c>
    </row>
    <row r="211">
      <c r="A211" s="4" t="n">
        <v>23</v>
      </c>
      <c r="B211" s="4" t="n">
        <v>7</v>
      </c>
      <c r="C211" s="4" t="inlineStr">
        <is>
          <t>单张</t>
        </is>
      </c>
      <c r="D211" s="4" t="inlineStr">
        <is>
          <t>玩3</t>
        </is>
      </c>
      <c r="E211" s="4" t="inlineStr">
        <is>
          <t>♥Q</t>
        </is>
      </c>
      <c r="F211" s="4" t="inlineStr">
        <is>
          <t>♥10</t>
        </is>
      </c>
      <c r="G211" s="4" t="inlineStr">
        <is>
          <t>♥2</t>
        </is>
      </c>
      <c r="H211" s="4" t="inlineStr">
        <is>
          <t>♠10</t>
        </is>
      </c>
      <c r="I211" s="4" t="inlineStr">
        <is>
          <t>玩3</t>
        </is>
      </c>
      <c r="J211" s="4" t="n">
        <v>20</v>
      </c>
      <c r="K211" s="4" t="inlineStr">
        <is>
          <t>庄家方</t>
        </is>
      </c>
    </row>
    <row r="212">
      <c r="A212" s="4" t="n">
        <v>23</v>
      </c>
      <c r="B212" s="4" t="n">
        <v>8</v>
      </c>
      <c r="C212" s="4" t="inlineStr">
        <is>
          <t>单张</t>
        </is>
      </c>
      <c r="D212" s="4" t="inlineStr">
        <is>
          <t>玩3</t>
        </is>
      </c>
      <c r="E212" s="4" t="inlineStr">
        <is>
          <t>♣5</t>
        </is>
      </c>
      <c r="F212" s="4" t="inlineStr">
        <is>
          <t>♦8</t>
        </is>
      </c>
      <c r="G212" s="4" t="inlineStr">
        <is>
          <t>大王</t>
        </is>
      </c>
      <c r="H212" s="4" t="inlineStr">
        <is>
          <t>♦J</t>
        </is>
      </c>
      <c r="I212" s="4" t="inlineStr">
        <is>
          <t>玩3</t>
        </is>
      </c>
      <c r="J212" s="4" t="n">
        <v>5</v>
      </c>
      <c r="K212" s="4" t="inlineStr">
        <is>
          <t>庄家方</t>
        </is>
      </c>
    </row>
    <row r="213">
      <c r="A213" s="4" t="n">
        <v>23</v>
      </c>
      <c r="B213" s="4" t="n">
        <v>9</v>
      </c>
      <c r="C213" s="4" t="inlineStr">
        <is>
          <t>单张</t>
        </is>
      </c>
      <c r="D213" s="4" t="inlineStr">
        <is>
          <t>玩3</t>
        </is>
      </c>
      <c r="E213" s="4" t="inlineStr">
        <is>
          <t>♣8</t>
        </is>
      </c>
      <c r="F213" s="4" t="inlineStr">
        <is>
          <t>♣K</t>
        </is>
      </c>
      <c r="G213" s="4" t="inlineStr">
        <is>
          <t>小王</t>
        </is>
      </c>
      <c r="H213" s="4" t="inlineStr">
        <is>
          <t>♦Q</t>
        </is>
      </c>
      <c r="I213" s="4" t="inlineStr">
        <is>
          <t>玩3</t>
        </is>
      </c>
      <c r="J213" s="4" t="n">
        <v>10</v>
      </c>
      <c r="K213" s="4" t="inlineStr">
        <is>
          <t>庄家方</t>
        </is>
      </c>
    </row>
    <row r="214">
      <c r="A214" s="4" t="n">
        <v>23</v>
      </c>
      <c r="B214" s="4" t="n">
        <v>10</v>
      </c>
      <c r="C214" s="4" t="inlineStr">
        <is>
          <t>单张</t>
        </is>
      </c>
      <c r="D214" s="4" t="inlineStr">
        <is>
          <t>玩3</t>
        </is>
      </c>
      <c r="E214" s="4" t="inlineStr">
        <is>
          <t>♠K</t>
        </is>
      </c>
      <c r="F214" s="4" t="inlineStr">
        <is>
          <t>♦K</t>
        </is>
      </c>
      <c r="G214" s="4" t="inlineStr">
        <is>
          <t>♥K</t>
        </is>
      </c>
      <c r="H214" s="4" t="inlineStr">
        <is>
          <t>♣A</t>
        </is>
      </c>
      <c r="I214" s="4" t="inlineStr">
        <is>
          <t>玩3</t>
        </is>
      </c>
      <c r="J214" s="4" t="n">
        <v>30</v>
      </c>
      <c r="K214" s="4" t="inlineStr">
        <is>
          <t>庄家方</t>
        </is>
      </c>
    </row>
    <row r="215">
      <c r="A215" s="4" t="n">
        <v>24</v>
      </c>
      <c r="B215" s="4" t="n">
        <v>1</v>
      </c>
      <c r="C215" s="4" t="inlineStr">
        <is>
          <t>对子</t>
        </is>
      </c>
      <c r="D215" s="4" t="inlineStr">
        <is>
          <t>玩4</t>
        </is>
      </c>
      <c r="E215" s="4" t="inlineStr">
        <is>
          <t>♦4 ♦8</t>
        </is>
      </c>
      <c r="F215" s="4" t="inlineStr">
        <is>
          <t>♦2 ♦5</t>
        </is>
      </c>
      <c r="G215" s="4" t="inlineStr">
        <is>
          <t>♠3 ♦3</t>
        </is>
      </c>
      <c r="H215" s="4" t="inlineStr">
        <is>
          <t>♦A ♠A</t>
        </is>
      </c>
      <c r="I215" s="4" t="inlineStr">
        <is>
          <t>玩2</t>
        </is>
      </c>
      <c r="J215" s="4" t="n">
        <v>5</v>
      </c>
      <c r="K215" s="4" t="inlineStr">
        <is>
          <t>庄家方</t>
        </is>
      </c>
    </row>
    <row r="216">
      <c r="A216" s="4" t="n">
        <v>24</v>
      </c>
      <c r="B216" s="4" t="n">
        <v>2</v>
      </c>
      <c r="C216" s="4" t="inlineStr">
        <is>
          <t>单张</t>
        </is>
      </c>
      <c r="D216" s="4" t="inlineStr">
        <is>
          <t>玩2</t>
        </is>
      </c>
      <c r="E216" s="4" t="inlineStr">
        <is>
          <t>♥7</t>
        </is>
      </c>
      <c r="F216" s="4" t="inlineStr">
        <is>
          <t>♥4</t>
        </is>
      </c>
      <c r="G216" s="4" t="inlineStr">
        <is>
          <t>♥2</t>
        </is>
      </c>
      <c r="H216" s="4" t="inlineStr">
        <is>
          <t>♥Q</t>
        </is>
      </c>
      <c r="I216" s="4" t="inlineStr">
        <is>
          <t>玩3</t>
        </is>
      </c>
      <c r="J216" s="4" t="n">
        <v>0</v>
      </c>
      <c r="K216" s="4" t="inlineStr">
        <is>
          <t>抓分方</t>
        </is>
      </c>
    </row>
    <row r="217">
      <c r="A217" s="4" t="n">
        <v>24</v>
      </c>
      <c r="B217" s="4" t="n">
        <v>3</v>
      </c>
      <c r="C217" s="4" t="inlineStr">
        <is>
          <t>单张</t>
        </is>
      </c>
      <c r="D217" s="4" t="inlineStr">
        <is>
          <t>玩3</t>
        </is>
      </c>
      <c r="E217" s="4" t="inlineStr">
        <is>
          <t>♣3</t>
        </is>
      </c>
      <c r="F217" s="4" t="inlineStr">
        <is>
          <t>♣9</t>
        </is>
      </c>
      <c r="G217" s="4" t="inlineStr">
        <is>
          <t>♣4</t>
        </is>
      </c>
      <c r="H217" s="4" t="inlineStr">
        <is>
          <t>♣A</t>
        </is>
      </c>
      <c r="I217" s="4" t="inlineStr">
        <is>
          <t>玩4</t>
        </is>
      </c>
      <c r="J217" s="4" t="n">
        <v>0</v>
      </c>
      <c r="K217" s="4" t="inlineStr">
        <is>
          <t>庄家方</t>
        </is>
      </c>
    </row>
    <row r="218">
      <c r="A218" s="4" t="n">
        <v>24</v>
      </c>
      <c r="B218" s="4" t="n">
        <v>4</v>
      </c>
      <c r="C218" s="4" t="inlineStr">
        <is>
          <t>单张</t>
        </is>
      </c>
      <c r="D218" s="4" t="inlineStr">
        <is>
          <t>玩4</t>
        </is>
      </c>
      <c r="E218" s="4" t="inlineStr">
        <is>
          <t>♦9</t>
        </is>
      </c>
      <c r="F218" s="4" t="inlineStr">
        <is>
          <t>♠6</t>
        </is>
      </c>
      <c r="G218" s="4" t="inlineStr">
        <is>
          <t>♠5</t>
        </is>
      </c>
      <c r="H218" s="4" t="inlineStr">
        <is>
          <t>♦6</t>
        </is>
      </c>
      <c r="I218" s="4" t="inlineStr">
        <is>
          <t>玩1</t>
        </is>
      </c>
      <c r="J218" s="4" t="n">
        <v>5</v>
      </c>
      <c r="K218" s="4" t="inlineStr">
        <is>
          <t>抓分方</t>
        </is>
      </c>
    </row>
    <row r="219">
      <c r="A219" s="4" t="n">
        <v>24</v>
      </c>
      <c r="B219" s="4" t="n">
        <v>5</v>
      </c>
      <c r="C219" s="4" t="inlineStr">
        <is>
          <t>对子</t>
        </is>
      </c>
      <c r="D219" s="4" t="inlineStr">
        <is>
          <t>玩1</t>
        </is>
      </c>
      <c r="E219" s="4" t="inlineStr">
        <is>
          <t>♠Q ♦Q</t>
        </is>
      </c>
      <c r="F219" s="4" t="inlineStr">
        <is>
          <t>♠J ♠K</t>
        </is>
      </c>
      <c r="G219" s="4" t="inlineStr">
        <is>
          <t>♣2</t>
        </is>
      </c>
      <c r="H219" s="4" t="inlineStr">
        <is>
          <t>♠2 ♠9</t>
        </is>
      </c>
      <c r="I219" s="4" t="inlineStr">
        <is>
          <t>玩3</t>
        </is>
      </c>
      <c r="J219" s="4" t="n">
        <v>10</v>
      </c>
      <c r="K219" s="4" t="inlineStr">
        <is>
          <t>抓分方</t>
        </is>
      </c>
    </row>
    <row r="220">
      <c r="A220" s="4" t="n">
        <v>24</v>
      </c>
      <c r="B220" s="4" t="n">
        <v>6</v>
      </c>
      <c r="C220" s="4" t="inlineStr">
        <is>
          <t>单张</t>
        </is>
      </c>
      <c r="D220" s="4" t="inlineStr">
        <is>
          <t>玩3</t>
        </is>
      </c>
      <c r="E220" s="4" t="inlineStr">
        <is>
          <t>♣10</t>
        </is>
      </c>
      <c r="F220" s="4" t="inlineStr">
        <is>
          <t>♣Q</t>
        </is>
      </c>
      <c r="G220" s="4" t="inlineStr">
        <is>
          <t>♣7</t>
        </is>
      </c>
      <c r="H220" s="4" t="inlineStr">
        <is>
          <t>♣5</t>
        </is>
      </c>
      <c r="I220" s="4" t="inlineStr">
        <is>
          <t>玩2</t>
        </is>
      </c>
      <c r="J220" s="4" t="n">
        <v>15</v>
      </c>
      <c r="K220" s="4" t="inlineStr">
        <is>
          <t>庄家方</t>
        </is>
      </c>
    </row>
    <row r="221">
      <c r="A221" s="4" t="n">
        <v>24</v>
      </c>
      <c r="B221" s="4" t="n">
        <v>7</v>
      </c>
      <c r="C221" s="4" t="inlineStr">
        <is>
          <t>单张</t>
        </is>
      </c>
      <c r="D221" s="4" t="inlineStr">
        <is>
          <t>玩2</t>
        </is>
      </c>
      <c r="E221" s="4" t="inlineStr">
        <is>
          <t>♣6</t>
        </is>
      </c>
      <c r="F221" s="4" t="inlineStr">
        <is>
          <t>♥8</t>
        </is>
      </c>
      <c r="G221" s="4" t="inlineStr">
        <is>
          <t>♥9</t>
        </is>
      </c>
      <c r="H221" s="4" t="inlineStr">
        <is>
          <t>♦J</t>
        </is>
      </c>
      <c r="I221" s="4" t="inlineStr">
        <is>
          <t>玩3</t>
        </is>
      </c>
      <c r="J221" s="4" t="n">
        <v>0</v>
      </c>
      <c r="K221" s="4" t="inlineStr">
        <is>
          <t>抓分方</t>
        </is>
      </c>
    </row>
    <row r="222">
      <c r="A222" s="4" t="n">
        <v>24</v>
      </c>
      <c r="B222" s="4" t="n">
        <v>8</v>
      </c>
      <c r="C222" s="4" t="inlineStr">
        <is>
          <t>单张</t>
        </is>
      </c>
      <c r="D222" s="4" t="inlineStr">
        <is>
          <t>玩3</t>
        </is>
      </c>
      <c r="E222" s="4" t="inlineStr">
        <is>
          <t>♠10</t>
        </is>
      </c>
      <c r="F222" s="4" t="inlineStr">
        <is>
          <t>♥K</t>
        </is>
      </c>
      <c r="G222" s="4" t="inlineStr">
        <is>
          <t>♥J</t>
        </is>
      </c>
      <c r="H222" s="4" t="inlineStr">
        <is>
          <t>♦K</t>
        </is>
      </c>
      <c r="I222" s="4" t="inlineStr">
        <is>
          <t>玩2</t>
        </is>
      </c>
      <c r="J222" s="4" t="n">
        <v>30</v>
      </c>
      <c r="K222" s="4" t="inlineStr">
        <is>
          <t>庄家方</t>
        </is>
      </c>
    </row>
    <row r="223">
      <c r="A223" s="4" t="n">
        <v>24</v>
      </c>
      <c r="B223" s="4" t="n">
        <v>9</v>
      </c>
      <c r="C223" s="4" t="inlineStr">
        <is>
          <t>单张</t>
        </is>
      </c>
      <c r="D223" s="4" t="inlineStr">
        <is>
          <t>玩2</t>
        </is>
      </c>
      <c r="E223" s="4" t="inlineStr">
        <is>
          <t>♦10</t>
        </is>
      </c>
      <c r="F223" s="4" t="inlineStr">
        <is>
          <t>♥3</t>
        </is>
      </c>
      <c r="G223" s="4" t="inlineStr">
        <is>
          <t>♥A</t>
        </is>
      </c>
      <c r="H223" s="4" t="inlineStr">
        <is>
          <t>大王</t>
        </is>
      </c>
      <c r="I223" s="4" t="inlineStr">
        <is>
          <t>玩4</t>
        </is>
      </c>
      <c r="J223" s="4" t="n">
        <v>10</v>
      </c>
      <c r="K223" s="4" t="inlineStr">
        <is>
          <t>庄家方</t>
        </is>
      </c>
    </row>
    <row r="224">
      <c r="A224" s="4" t="n">
        <v>24</v>
      </c>
      <c r="B224" s="4" t="n">
        <v>10</v>
      </c>
      <c r="C224" s="4" t="inlineStr">
        <is>
          <t>单张</t>
        </is>
      </c>
      <c r="D224" s="4" t="inlineStr">
        <is>
          <t>玩4</t>
        </is>
      </c>
      <c r="E224" s="4" t="inlineStr">
        <is>
          <t>♣J</t>
        </is>
      </c>
      <c r="F224" s="4" t="inlineStr">
        <is>
          <t>♥10</t>
        </is>
      </c>
      <c r="G224" s="4" t="inlineStr">
        <is>
          <t>♥5</t>
        </is>
      </c>
      <c r="H224" s="4" t="inlineStr">
        <is>
          <t>小王</t>
        </is>
      </c>
      <c r="I224" s="4" t="inlineStr">
        <is>
          <t>玩4</t>
        </is>
      </c>
      <c r="J224" s="4" t="n">
        <v>15</v>
      </c>
      <c r="K224" s="4" t="inlineStr">
        <is>
          <t>庄家方</t>
        </is>
      </c>
    </row>
    <row r="225">
      <c r="A225" s="4" t="n">
        <v>24</v>
      </c>
      <c r="B225" s="4" t="n">
        <v>11</v>
      </c>
      <c r="C225" s="4" t="inlineStr">
        <is>
          <t>单张</t>
        </is>
      </c>
      <c r="D225" s="4" t="inlineStr">
        <is>
          <t>玩4</t>
        </is>
      </c>
      <c r="E225" s="4" t="inlineStr">
        <is>
          <t>无</t>
        </is>
      </c>
      <c r="F225" s="4" t="inlineStr">
        <is>
          <t>无</t>
        </is>
      </c>
      <c r="G225" s="4" t="inlineStr">
        <is>
          <t>♣K</t>
        </is>
      </c>
      <c r="H225" s="4" t="inlineStr">
        <is>
          <t>无</t>
        </is>
      </c>
      <c r="I225" s="4" t="inlineStr">
        <is>
          <t>玩3</t>
        </is>
      </c>
      <c r="J225" s="4" t="n">
        <v>10</v>
      </c>
      <c r="K225" s="4" t="inlineStr">
        <is>
          <t>抓分方</t>
        </is>
      </c>
    </row>
    <row r="226">
      <c r="A226" s="4" t="n">
        <v>25</v>
      </c>
      <c r="B226" s="4" t="n">
        <v>1</v>
      </c>
      <c r="C226" s="4" t="inlineStr">
        <is>
          <t>对子</t>
        </is>
      </c>
      <c r="D226" s="4" t="inlineStr">
        <is>
          <t>玩1</t>
        </is>
      </c>
      <c r="E226" s="4" t="inlineStr">
        <is>
          <t>♠A ♣A</t>
        </is>
      </c>
      <c r="F226" s="4" t="inlineStr">
        <is>
          <t>♠5 ♠K</t>
        </is>
      </c>
      <c r="G226" s="4" t="inlineStr">
        <is>
          <t>♠4 ♠6</t>
        </is>
      </c>
      <c r="H226" s="4" t="inlineStr">
        <is>
          <t>♠3 ♠7</t>
        </is>
      </c>
      <c r="I226" s="4" t="inlineStr">
        <is>
          <t>玩1</t>
        </is>
      </c>
      <c r="J226" s="4" t="n">
        <v>15</v>
      </c>
      <c r="K226" s="4" t="inlineStr">
        <is>
          <t>庄家方</t>
        </is>
      </c>
    </row>
    <row r="227">
      <c r="A227" s="4" t="n">
        <v>25</v>
      </c>
      <c r="B227" s="4" t="n">
        <v>2</v>
      </c>
      <c r="C227" s="4" t="inlineStr">
        <is>
          <t>对子</t>
        </is>
      </c>
      <c r="D227" s="4" t="inlineStr">
        <is>
          <t>玩1</t>
        </is>
      </c>
      <c r="E227" s="4" t="inlineStr">
        <is>
          <t>♦2 ♠2</t>
        </is>
      </c>
      <c r="F227" s="4" t="inlineStr">
        <is>
          <t>♦3 ♦4</t>
        </is>
      </c>
      <c r="G227" s="4" t="inlineStr">
        <is>
          <t>♦5 ♦K</t>
        </is>
      </c>
      <c r="H227" s="4" t="inlineStr">
        <is>
          <t>♦6 ♦Q</t>
        </is>
      </c>
      <c r="I227" s="4" t="inlineStr">
        <is>
          <t>玩1</t>
        </is>
      </c>
      <c r="J227" s="4" t="n">
        <v>15</v>
      </c>
      <c r="K227" s="4" t="inlineStr">
        <is>
          <t>庄家方</t>
        </is>
      </c>
    </row>
    <row r="228">
      <c r="A228" s="4" t="n">
        <v>25</v>
      </c>
      <c r="B228" s="4" t="n">
        <v>3</v>
      </c>
      <c r="C228" s="4" t="inlineStr">
        <is>
          <t>单张</t>
        </is>
      </c>
      <c r="D228" s="4" t="inlineStr">
        <is>
          <t>玩1</t>
        </is>
      </c>
      <c r="E228" s="4" t="inlineStr">
        <is>
          <t>♣7</t>
        </is>
      </c>
      <c r="F228" s="4" t="inlineStr">
        <is>
          <t>♣2</t>
        </is>
      </c>
      <c r="G228" s="4" t="inlineStr">
        <is>
          <t>♣Q</t>
        </is>
      </c>
      <c r="H228" s="4" t="inlineStr">
        <is>
          <t>♣3</t>
        </is>
      </c>
      <c r="I228" s="4" t="inlineStr">
        <is>
          <t>玩2</t>
        </is>
      </c>
      <c r="J228" s="4" t="n">
        <v>0</v>
      </c>
      <c r="K228" s="4" t="inlineStr">
        <is>
          <t>抓分方</t>
        </is>
      </c>
    </row>
    <row r="229">
      <c r="A229" s="4" t="n">
        <v>25</v>
      </c>
      <c r="B229" s="4" t="n">
        <v>4</v>
      </c>
      <c r="C229" s="4" t="inlineStr">
        <is>
          <t>对子</t>
        </is>
      </c>
      <c r="D229" s="4" t="inlineStr">
        <is>
          <t>玩2</t>
        </is>
      </c>
      <c r="E229" s="4" t="inlineStr">
        <is>
          <t>♥3</t>
        </is>
      </c>
      <c r="F229" s="4" t="inlineStr">
        <is>
          <t>♦J ♥J</t>
        </is>
      </c>
      <c r="G229" s="4" t="inlineStr">
        <is>
          <t>♣5 ♥7</t>
        </is>
      </c>
      <c r="H229" s="4" t="inlineStr">
        <is>
          <t>♥2</t>
        </is>
      </c>
      <c r="I229" s="4" t="inlineStr">
        <is>
          <t>玩1</t>
        </is>
      </c>
      <c r="J229" s="4" t="n">
        <v>5</v>
      </c>
      <c r="K229" s="4" t="inlineStr">
        <is>
          <t>庄家方</t>
        </is>
      </c>
    </row>
    <row r="230">
      <c r="A230" s="4" t="n">
        <v>25</v>
      </c>
      <c r="B230" s="4" t="n">
        <v>5</v>
      </c>
      <c r="C230" s="4" t="inlineStr">
        <is>
          <t>单张</t>
        </is>
      </c>
      <c r="D230" s="4" t="inlineStr">
        <is>
          <t>玩1</t>
        </is>
      </c>
      <c r="E230" s="4" t="inlineStr">
        <is>
          <t>♠9</t>
        </is>
      </c>
      <c r="F230" s="4" t="inlineStr">
        <is>
          <t>♥6</t>
        </is>
      </c>
      <c r="G230" s="4" t="inlineStr">
        <is>
          <t>♠8</t>
        </is>
      </c>
      <c r="H230" s="4" t="inlineStr">
        <is>
          <t>♠Q</t>
        </is>
      </c>
      <c r="I230" s="4" t="inlineStr">
        <is>
          <t>玩4</t>
        </is>
      </c>
      <c r="J230" s="4" t="n">
        <v>0</v>
      </c>
      <c r="K230" s="4" t="inlineStr">
        <is>
          <t>抓分方</t>
        </is>
      </c>
    </row>
    <row r="231">
      <c r="A231" s="4" t="n">
        <v>25</v>
      </c>
      <c r="B231" s="4" t="n">
        <v>6</v>
      </c>
      <c r="C231" s="4" t="inlineStr">
        <is>
          <t>对子</t>
        </is>
      </c>
      <c r="D231" s="4" t="inlineStr">
        <is>
          <t>玩4</t>
        </is>
      </c>
      <c r="E231" s="4" t="inlineStr">
        <is>
          <t>♥K ♥A</t>
        </is>
      </c>
      <c r="F231" s="4" t="inlineStr">
        <is>
          <t>♦8 ♦9</t>
        </is>
      </c>
      <c r="G231" s="4" t="inlineStr">
        <is>
          <t>♥9 ♥10</t>
        </is>
      </c>
      <c r="H231" s="4" t="inlineStr">
        <is>
          <t>♥8 ♣8</t>
        </is>
      </c>
      <c r="I231" s="4" t="inlineStr">
        <is>
          <t>玩1</t>
        </is>
      </c>
      <c r="J231" s="4" t="n">
        <v>20</v>
      </c>
      <c r="K231" s="4" t="inlineStr">
        <is>
          <t>庄家方</t>
        </is>
      </c>
    </row>
    <row r="232">
      <c r="A232" s="4" t="n">
        <v>25</v>
      </c>
      <c r="B232" s="4" t="n">
        <v>7</v>
      </c>
      <c r="C232" s="4" t="inlineStr">
        <is>
          <t>单张</t>
        </is>
      </c>
      <c r="D232" s="4" t="inlineStr">
        <is>
          <t>玩1</t>
        </is>
      </c>
      <c r="E232" s="4" t="inlineStr">
        <is>
          <t>♠10</t>
        </is>
      </c>
      <c r="F232" s="4" t="inlineStr">
        <is>
          <t>♣10</t>
        </is>
      </c>
      <c r="G232" s="4" t="inlineStr">
        <is>
          <t>小王</t>
        </is>
      </c>
      <c r="H232" s="4" t="inlineStr">
        <is>
          <t>♥5</t>
        </is>
      </c>
      <c r="I232" s="4" t="inlineStr">
        <is>
          <t>玩3</t>
        </is>
      </c>
      <c r="J232" s="4" t="n">
        <v>25</v>
      </c>
      <c r="K232" s="4" t="inlineStr">
        <is>
          <t>庄家方</t>
        </is>
      </c>
    </row>
    <row r="233">
      <c r="A233" s="4" t="n">
        <v>25</v>
      </c>
      <c r="B233" s="4" t="n">
        <v>8</v>
      </c>
      <c r="C233" s="4" t="inlineStr">
        <is>
          <t>单张</t>
        </is>
      </c>
      <c r="D233" s="4" t="inlineStr">
        <is>
          <t>玩3</t>
        </is>
      </c>
      <c r="E233" s="4" t="inlineStr">
        <is>
          <t>♦10</t>
        </is>
      </c>
      <c r="F233" s="4" t="inlineStr">
        <is>
          <t>♥Q</t>
        </is>
      </c>
      <c r="G233" s="4" t="inlineStr">
        <is>
          <t>大王</t>
        </is>
      </c>
      <c r="H233" s="4" t="inlineStr">
        <is>
          <t>♣6</t>
        </is>
      </c>
      <c r="I233" s="4" t="inlineStr">
        <is>
          <t>玩3</t>
        </is>
      </c>
      <c r="J233" s="4" t="n">
        <v>10</v>
      </c>
      <c r="K233" s="4" t="inlineStr">
        <is>
          <t>庄家方</t>
        </is>
      </c>
    </row>
    <row r="234">
      <c r="A234" s="4" t="n">
        <v>25</v>
      </c>
      <c r="B234" s="4" t="n">
        <v>9</v>
      </c>
      <c r="C234" s="4" t="inlineStr">
        <is>
          <t>单张</t>
        </is>
      </c>
      <c r="D234" s="4" t="inlineStr">
        <is>
          <t>玩3</t>
        </is>
      </c>
      <c r="E234" s="4" t="inlineStr">
        <is>
          <t>♣K</t>
        </is>
      </c>
      <c r="F234" s="4" t="inlineStr">
        <is>
          <t>无</t>
        </is>
      </c>
      <c r="G234" s="4" t="inlineStr">
        <is>
          <t>无</t>
        </is>
      </c>
      <c r="H234" s="4" t="inlineStr">
        <is>
          <t>♣J</t>
        </is>
      </c>
      <c r="I234" s="4" t="inlineStr">
        <is>
          <t>玩1</t>
        </is>
      </c>
      <c r="J234" s="4" t="n">
        <v>10</v>
      </c>
      <c r="K234" s="4" t="inlineStr">
        <is>
          <t>庄家方</t>
        </is>
      </c>
    </row>
    <row r="235">
      <c r="A235" s="4" t="n">
        <v>26</v>
      </c>
      <c r="B235" s="4" t="n">
        <v>1</v>
      </c>
      <c r="C235" s="4" t="inlineStr">
        <is>
          <t>对子</t>
        </is>
      </c>
      <c r="D235" s="4" t="inlineStr">
        <is>
          <t>玩2</t>
        </is>
      </c>
      <c r="E235" s="4" t="inlineStr">
        <is>
          <t>♦4 ♠4</t>
        </is>
      </c>
      <c r="F235" s="4" t="inlineStr">
        <is>
          <t>♥2 ♠2</t>
        </is>
      </c>
      <c r="G235" s="4" t="inlineStr">
        <is>
          <t>♣4 ♣6</t>
        </is>
      </c>
      <c r="H235" s="4" t="inlineStr">
        <is>
          <t>♥3 ♥4</t>
        </is>
      </c>
      <c r="I235" s="4" t="inlineStr">
        <is>
          <t>玩2</t>
        </is>
      </c>
      <c r="J235" s="4" t="n">
        <v>0</v>
      </c>
      <c r="K235" s="4" t="inlineStr">
        <is>
          <t>庄家方</t>
        </is>
      </c>
    </row>
    <row r="236">
      <c r="A236" s="4" t="n">
        <v>26</v>
      </c>
      <c r="B236" s="4" t="n">
        <v>2</v>
      </c>
      <c r="C236" s="4" t="inlineStr">
        <is>
          <t>单张</t>
        </is>
      </c>
      <c r="D236" s="4" t="inlineStr">
        <is>
          <t>玩2</t>
        </is>
      </c>
      <c r="E236" s="4" t="inlineStr">
        <is>
          <t>♠6</t>
        </is>
      </c>
      <c r="F236" s="4" t="inlineStr">
        <is>
          <t>♠3</t>
        </is>
      </c>
      <c r="G236" s="4" t="inlineStr">
        <is>
          <t>♠A</t>
        </is>
      </c>
      <c r="H236" s="4" t="inlineStr">
        <is>
          <t>♠9</t>
        </is>
      </c>
      <c r="I236" s="4" t="inlineStr">
        <is>
          <t>玩3</t>
        </is>
      </c>
      <c r="J236" s="4" t="n">
        <v>0</v>
      </c>
      <c r="K236" s="4" t="inlineStr">
        <is>
          <t>抓分方</t>
        </is>
      </c>
    </row>
    <row r="237">
      <c r="A237" s="4" t="n">
        <v>26</v>
      </c>
      <c r="B237" s="4" t="n">
        <v>3</v>
      </c>
      <c r="C237" s="4" t="inlineStr">
        <is>
          <t>单张</t>
        </is>
      </c>
      <c r="D237" s="4" t="inlineStr">
        <is>
          <t>玩3</t>
        </is>
      </c>
      <c r="E237" s="4" t="inlineStr">
        <is>
          <t>♠5</t>
        </is>
      </c>
      <c r="F237" s="4" t="inlineStr">
        <is>
          <t>♦10</t>
        </is>
      </c>
      <c r="G237" s="4" t="inlineStr">
        <is>
          <t>♦7</t>
        </is>
      </c>
      <c r="H237" s="4" t="inlineStr">
        <is>
          <t>♦2</t>
        </is>
      </c>
      <c r="I237" s="4" t="inlineStr">
        <is>
          <t>玩4</t>
        </is>
      </c>
      <c r="J237" s="4" t="n">
        <v>15</v>
      </c>
      <c r="K237" s="4" t="inlineStr">
        <is>
          <t>庄家方</t>
        </is>
      </c>
    </row>
    <row r="238">
      <c r="A238" s="4" t="n">
        <v>26</v>
      </c>
      <c r="B238" s="4" t="n">
        <v>4</v>
      </c>
      <c r="C238" s="4" t="inlineStr">
        <is>
          <t>对子</t>
        </is>
      </c>
      <c r="D238" s="4" t="inlineStr">
        <is>
          <t>玩4</t>
        </is>
      </c>
      <c r="E238" s="4" t="inlineStr">
        <is>
          <t>♣7 ♣J</t>
        </is>
      </c>
      <c r="F238" s="4" t="inlineStr">
        <is>
          <t>♣5 ♣9</t>
        </is>
      </c>
      <c r="G238" s="4" t="inlineStr">
        <is>
          <t>♣2 ♣K</t>
        </is>
      </c>
      <c r="H238" s="4" t="inlineStr">
        <is>
          <t>♣3 ♦3</t>
        </is>
      </c>
      <c r="I238" s="4" t="inlineStr">
        <is>
          <t>玩3</t>
        </is>
      </c>
      <c r="J238" s="4" t="n">
        <v>15</v>
      </c>
      <c r="K238" s="4" t="inlineStr">
        <is>
          <t>抓分方</t>
        </is>
      </c>
    </row>
    <row r="239">
      <c r="A239" s="4" t="n">
        <v>26</v>
      </c>
      <c r="B239" s="4" t="n">
        <v>5</v>
      </c>
      <c r="C239" s="4" t="inlineStr">
        <is>
          <t>单张</t>
        </is>
      </c>
      <c r="D239" s="4" t="inlineStr">
        <is>
          <t>玩3</t>
        </is>
      </c>
      <c r="E239" s="4" t="inlineStr">
        <is>
          <t>♥5</t>
        </is>
      </c>
      <c r="F239" s="4" t="inlineStr">
        <is>
          <t>♦A</t>
        </is>
      </c>
      <c r="G239" s="4" t="inlineStr">
        <is>
          <t>♦8</t>
        </is>
      </c>
      <c r="H239" s="4" t="inlineStr">
        <is>
          <t>♦Q</t>
        </is>
      </c>
      <c r="I239" s="4" t="inlineStr">
        <is>
          <t>玩2</t>
        </is>
      </c>
      <c r="J239" s="4" t="n">
        <v>5</v>
      </c>
      <c r="K239" s="4" t="inlineStr">
        <is>
          <t>庄家方</t>
        </is>
      </c>
    </row>
    <row r="240">
      <c r="A240" s="4" t="n">
        <v>26</v>
      </c>
      <c r="B240" s="4" t="n">
        <v>6</v>
      </c>
      <c r="C240" s="4" t="inlineStr">
        <is>
          <t>单张</t>
        </is>
      </c>
      <c r="D240" s="4" t="inlineStr">
        <is>
          <t>玩2</t>
        </is>
      </c>
      <c r="E240" s="4" t="inlineStr">
        <is>
          <t>♠7</t>
        </is>
      </c>
      <c r="F240" s="4" t="inlineStr">
        <is>
          <t>♥J</t>
        </is>
      </c>
      <c r="G240" s="4" t="inlineStr">
        <is>
          <t>♥A</t>
        </is>
      </c>
      <c r="H240" s="4" t="inlineStr">
        <is>
          <t>♥7</t>
        </is>
      </c>
      <c r="I240" s="4" t="inlineStr">
        <is>
          <t>玩3</t>
        </is>
      </c>
      <c r="J240" s="4" t="n">
        <v>0</v>
      </c>
      <c r="K240" s="4" t="inlineStr">
        <is>
          <t>抓分方</t>
        </is>
      </c>
    </row>
    <row r="241">
      <c r="A241" s="4" t="n">
        <v>26</v>
      </c>
      <c r="B241" s="4" t="n">
        <v>7</v>
      </c>
      <c r="C241" s="4" t="inlineStr">
        <is>
          <t>单张</t>
        </is>
      </c>
      <c r="D241" s="4" t="inlineStr">
        <is>
          <t>玩3</t>
        </is>
      </c>
      <c r="E241" s="4" t="inlineStr">
        <is>
          <t>♠8</t>
        </is>
      </c>
      <c r="F241" s="4" t="inlineStr">
        <is>
          <t>♥10</t>
        </is>
      </c>
      <c r="G241" s="4" t="inlineStr">
        <is>
          <t>♦9</t>
        </is>
      </c>
      <c r="H241" s="4" t="inlineStr">
        <is>
          <t>♦K</t>
        </is>
      </c>
      <c r="I241" s="4" t="inlineStr">
        <is>
          <t>玩4</t>
        </is>
      </c>
      <c r="J241" s="4" t="n">
        <v>20</v>
      </c>
      <c r="K241" s="4" t="inlineStr">
        <is>
          <t>庄家方</t>
        </is>
      </c>
    </row>
    <row r="242">
      <c r="A242" s="4" t="n">
        <v>26</v>
      </c>
      <c r="B242" s="4" t="n">
        <v>8</v>
      </c>
      <c r="C242" s="4" t="inlineStr">
        <is>
          <t>单张</t>
        </is>
      </c>
      <c r="D242" s="4" t="inlineStr">
        <is>
          <t>玩4</t>
        </is>
      </c>
      <c r="E242" s="4" t="inlineStr">
        <is>
          <t>♠J</t>
        </is>
      </c>
      <c r="F242" s="4" t="inlineStr">
        <is>
          <t>♥K</t>
        </is>
      </c>
      <c r="G242" s="4" t="inlineStr">
        <is>
          <t>小王</t>
        </is>
      </c>
      <c r="H242" s="4" t="inlineStr">
        <is>
          <t>♥9</t>
        </is>
      </c>
      <c r="I242" s="4" t="inlineStr">
        <is>
          <t>玩3</t>
        </is>
      </c>
      <c r="J242" s="4" t="n">
        <v>10</v>
      </c>
      <c r="K242" s="4" t="inlineStr">
        <is>
          <t>抓分方</t>
        </is>
      </c>
    </row>
    <row r="243">
      <c r="A243" s="4" t="n">
        <v>26</v>
      </c>
      <c r="B243" s="4" t="n">
        <v>9</v>
      </c>
      <c r="C243" s="4" t="inlineStr">
        <is>
          <t>单张</t>
        </is>
      </c>
      <c r="D243" s="4" t="inlineStr">
        <is>
          <t>玩3</t>
        </is>
      </c>
      <c r="E243" s="4" t="inlineStr">
        <is>
          <t>♠K</t>
        </is>
      </c>
      <c r="F243" s="4" t="inlineStr">
        <is>
          <t>♠10</t>
        </is>
      </c>
      <c r="G243" s="4" t="inlineStr">
        <is>
          <t>♦J</t>
        </is>
      </c>
      <c r="H243" s="4" t="inlineStr">
        <is>
          <t>♣10</t>
        </is>
      </c>
      <c r="I243" s="4" t="inlineStr">
        <is>
          <t>玩3</t>
        </is>
      </c>
      <c r="J243" s="4" t="n">
        <v>30</v>
      </c>
      <c r="K243" s="4" t="inlineStr">
        <is>
          <t>抓分方</t>
        </is>
      </c>
    </row>
    <row r="244">
      <c r="A244" s="4" t="n">
        <v>26</v>
      </c>
      <c r="B244" s="4" t="n">
        <v>10</v>
      </c>
      <c r="C244" s="4" t="inlineStr">
        <is>
          <t>单张</t>
        </is>
      </c>
      <c r="D244" s="4" t="inlineStr">
        <is>
          <t>玩3</t>
        </is>
      </c>
      <c r="E244" s="4" t="inlineStr">
        <is>
          <t>♣A</t>
        </is>
      </c>
      <c r="F244" s="4" t="inlineStr">
        <is>
          <t>♠Q</t>
        </is>
      </c>
      <c r="G244" s="4" t="inlineStr">
        <is>
          <t>大王</t>
        </is>
      </c>
      <c r="H244" s="4" t="inlineStr">
        <is>
          <t>♣Q</t>
        </is>
      </c>
      <c r="I244" s="4" t="inlineStr">
        <is>
          <t>玩3</t>
        </is>
      </c>
      <c r="J244" s="4" t="n">
        <v>0</v>
      </c>
      <c r="K244" s="4" t="inlineStr">
        <is>
          <t>抓分方</t>
        </is>
      </c>
    </row>
    <row r="245">
      <c r="A245" s="4" t="n">
        <v>27</v>
      </c>
      <c r="B245" s="4" t="n">
        <v>1</v>
      </c>
      <c r="C245" s="4" t="inlineStr">
        <is>
          <t>对子</t>
        </is>
      </c>
      <c r="D245" s="4" t="inlineStr">
        <is>
          <t>玩3</t>
        </is>
      </c>
      <c r="E245" s="4" t="inlineStr">
        <is>
          <t>♠8 ♠10</t>
        </is>
      </c>
      <c r="F245" s="4" t="inlineStr">
        <is>
          <t>♠2 ♠7</t>
        </is>
      </c>
      <c r="G245" s="4" t="inlineStr">
        <is>
          <t>♠6 ♦6</t>
        </is>
      </c>
      <c r="H245" s="4" t="inlineStr">
        <is>
          <t>♠3 ♠4</t>
        </is>
      </c>
      <c r="I245" s="4" t="inlineStr">
        <is>
          <t>玩2</t>
        </is>
      </c>
      <c r="J245" s="4" t="n">
        <v>10</v>
      </c>
      <c r="K245" s="4" t="inlineStr">
        <is>
          <t>抓分方</t>
        </is>
      </c>
    </row>
    <row r="246">
      <c r="A246" s="4" t="n">
        <v>27</v>
      </c>
      <c r="B246" s="4" t="n">
        <v>2</v>
      </c>
      <c r="C246" s="4" t="inlineStr">
        <is>
          <t>对子</t>
        </is>
      </c>
      <c r="D246" s="4" t="inlineStr">
        <is>
          <t>玩2</t>
        </is>
      </c>
      <c r="E246" s="4" t="inlineStr">
        <is>
          <t>♥3 ♥Q</t>
        </is>
      </c>
      <c r="F246" s="4" t="inlineStr">
        <is>
          <t>♥4 ♦4</t>
        </is>
      </c>
      <c r="G246" s="4" t="inlineStr">
        <is>
          <t>♥5 ♥9</t>
        </is>
      </c>
      <c r="H246" s="4" t="inlineStr">
        <is>
          <t>♥2 ♥A</t>
        </is>
      </c>
      <c r="I246" s="4" t="inlineStr">
        <is>
          <t>玩1</t>
        </is>
      </c>
      <c r="J246" s="4" t="n">
        <v>5</v>
      </c>
      <c r="K246" s="4" t="inlineStr">
        <is>
          <t>庄家方</t>
        </is>
      </c>
    </row>
    <row r="247">
      <c r="A247" s="4" t="n">
        <v>27</v>
      </c>
      <c r="B247" s="4" t="n">
        <v>3</v>
      </c>
      <c r="C247" s="4" t="inlineStr">
        <is>
          <t>单张</t>
        </is>
      </c>
      <c r="D247" s="4" t="inlineStr">
        <is>
          <t>玩1</t>
        </is>
      </c>
      <c r="E247" s="4" t="inlineStr">
        <is>
          <t>♣4</t>
        </is>
      </c>
      <c r="F247" s="4" t="inlineStr">
        <is>
          <t>♣6</t>
        </is>
      </c>
      <c r="G247" s="4" t="inlineStr">
        <is>
          <t>♣2</t>
        </is>
      </c>
      <c r="H247" s="4" t="inlineStr">
        <is>
          <t>♣9</t>
        </is>
      </c>
      <c r="I247" s="4" t="inlineStr">
        <is>
          <t>玩3</t>
        </is>
      </c>
      <c r="J247" s="4" t="n">
        <v>0</v>
      </c>
      <c r="K247" s="4" t="inlineStr">
        <is>
          <t>庄家方</t>
        </is>
      </c>
    </row>
    <row r="248">
      <c r="A248" s="4" t="n">
        <v>27</v>
      </c>
      <c r="B248" s="4" t="n">
        <v>4</v>
      </c>
      <c r="C248" s="4" t="inlineStr">
        <is>
          <t>单张</t>
        </is>
      </c>
      <c r="D248" s="4" t="inlineStr">
        <is>
          <t>玩3</t>
        </is>
      </c>
      <c r="E248" s="4" t="inlineStr">
        <is>
          <t>♣J</t>
        </is>
      </c>
      <c r="F248" s="4" t="inlineStr">
        <is>
          <t>♣8</t>
        </is>
      </c>
      <c r="G248" s="4" t="inlineStr">
        <is>
          <t>♣7</t>
        </is>
      </c>
      <c r="H248" s="4" t="inlineStr">
        <is>
          <t>♣A</t>
        </is>
      </c>
      <c r="I248" s="4" t="inlineStr">
        <is>
          <t>玩4</t>
        </is>
      </c>
      <c r="J248" s="4" t="n">
        <v>0</v>
      </c>
      <c r="K248" s="4" t="inlineStr">
        <is>
          <t>抓分方</t>
        </is>
      </c>
    </row>
    <row r="249">
      <c r="A249" s="4" t="n">
        <v>27</v>
      </c>
      <c r="B249" s="4" t="n">
        <v>5</v>
      </c>
      <c r="C249" s="4" t="inlineStr">
        <is>
          <t>单张</t>
        </is>
      </c>
      <c r="D249" s="4" t="inlineStr">
        <is>
          <t>玩4</t>
        </is>
      </c>
      <c r="E249" s="4" t="inlineStr">
        <is>
          <t>♦7</t>
        </is>
      </c>
      <c r="F249" s="4" t="inlineStr">
        <is>
          <t>♦K</t>
        </is>
      </c>
      <c r="G249" s="4" t="inlineStr">
        <is>
          <t>♦8</t>
        </is>
      </c>
      <c r="H249" s="4" t="inlineStr">
        <is>
          <t>♦J</t>
        </is>
      </c>
      <c r="I249" s="4" t="inlineStr">
        <is>
          <t>玩2</t>
        </is>
      </c>
      <c r="J249" s="4" t="n">
        <v>10</v>
      </c>
      <c r="K249" s="4" t="inlineStr">
        <is>
          <t>抓分方</t>
        </is>
      </c>
    </row>
    <row r="250">
      <c r="A250" s="4" t="n">
        <v>27</v>
      </c>
      <c r="B250" s="4" t="n">
        <v>6</v>
      </c>
      <c r="C250" s="4" t="inlineStr">
        <is>
          <t>对子</t>
        </is>
      </c>
      <c r="D250" s="4" t="inlineStr">
        <is>
          <t>玩2</t>
        </is>
      </c>
      <c r="E250" s="4" t="inlineStr">
        <is>
          <t>♠K ♠A</t>
        </is>
      </c>
      <c r="F250" s="4" t="inlineStr">
        <is>
          <t>♠J ♥J</t>
        </is>
      </c>
      <c r="G250" s="4" t="inlineStr">
        <is>
          <t>♦9 ♦10</t>
        </is>
      </c>
      <c r="H250" s="4" t="inlineStr">
        <is>
          <t>♦2</t>
        </is>
      </c>
      <c r="I250" s="4" t="inlineStr">
        <is>
          <t>玩4</t>
        </is>
      </c>
      <c r="J250" s="4" t="n">
        <v>20</v>
      </c>
      <c r="K250" s="4" t="inlineStr">
        <is>
          <t>抓分方</t>
        </is>
      </c>
    </row>
    <row r="251">
      <c r="A251" s="4" t="n">
        <v>27</v>
      </c>
      <c r="B251" s="4" t="n">
        <v>7</v>
      </c>
      <c r="C251" s="4" t="inlineStr">
        <is>
          <t>单张</t>
        </is>
      </c>
      <c r="D251" s="4" t="inlineStr">
        <is>
          <t>玩4</t>
        </is>
      </c>
      <c r="E251" s="4" t="inlineStr">
        <is>
          <t>♦5</t>
        </is>
      </c>
      <c r="F251" s="4" t="inlineStr">
        <is>
          <t>♥7</t>
        </is>
      </c>
      <c r="G251" s="4" t="inlineStr">
        <is>
          <t>大王</t>
        </is>
      </c>
      <c r="H251" s="4" t="inlineStr">
        <is>
          <t>♦Q</t>
        </is>
      </c>
      <c r="I251" s="4" t="inlineStr">
        <is>
          <t>玩3</t>
        </is>
      </c>
      <c r="J251" s="4" t="n">
        <v>5</v>
      </c>
      <c r="K251" s="4" t="inlineStr">
        <is>
          <t>庄家方</t>
        </is>
      </c>
    </row>
    <row r="252">
      <c r="A252" s="4" t="n">
        <v>27</v>
      </c>
      <c r="B252" s="4" t="n">
        <v>8</v>
      </c>
      <c r="C252" s="4" t="inlineStr">
        <is>
          <t>单张</t>
        </is>
      </c>
      <c r="D252" s="4" t="inlineStr">
        <is>
          <t>玩3</t>
        </is>
      </c>
      <c r="E252" s="4" t="inlineStr">
        <is>
          <t>♣10</t>
        </is>
      </c>
      <c r="F252" s="4" t="inlineStr">
        <is>
          <t>♥8</t>
        </is>
      </c>
      <c r="G252" s="4" t="inlineStr">
        <is>
          <t>♣Q</t>
        </is>
      </c>
      <c r="H252" s="4" t="inlineStr">
        <is>
          <t>♣K</t>
        </is>
      </c>
      <c r="I252" s="4" t="inlineStr">
        <is>
          <t>玩4</t>
        </is>
      </c>
      <c r="J252" s="4" t="n">
        <v>20</v>
      </c>
      <c r="K252" s="4" t="inlineStr">
        <is>
          <t>抓分方</t>
        </is>
      </c>
    </row>
    <row r="253">
      <c r="A253" s="4" t="n">
        <v>27</v>
      </c>
      <c r="B253" s="4" t="n">
        <v>9</v>
      </c>
      <c r="C253" s="4" t="inlineStr">
        <is>
          <t>单张</t>
        </is>
      </c>
      <c r="D253" s="4" t="inlineStr">
        <is>
          <t>玩4</t>
        </is>
      </c>
      <c r="E253" s="4" t="inlineStr">
        <is>
          <t>小王</t>
        </is>
      </c>
      <c r="F253" s="4" t="inlineStr">
        <is>
          <t>♠Q</t>
        </is>
      </c>
      <c r="G253" s="4" t="inlineStr">
        <is>
          <t>♥K</t>
        </is>
      </c>
      <c r="H253" s="4" t="inlineStr">
        <is>
          <t>♦A</t>
        </is>
      </c>
      <c r="I253" s="4" t="inlineStr">
        <is>
          <t>玩1</t>
        </is>
      </c>
      <c r="J253" s="4" t="n">
        <v>10</v>
      </c>
      <c r="K253" s="4" t="inlineStr">
        <is>
          <t>庄家方</t>
        </is>
      </c>
    </row>
    <row r="254">
      <c r="A254" s="4" t="n">
        <v>27</v>
      </c>
      <c r="B254" s="4" t="n">
        <v>10</v>
      </c>
      <c r="C254" s="4" t="inlineStr">
        <is>
          <t>单张</t>
        </is>
      </c>
      <c r="D254" s="4" t="inlineStr">
        <is>
          <t>玩1</t>
        </is>
      </c>
      <c r="E254" s="4" t="inlineStr">
        <is>
          <t>无</t>
        </is>
      </c>
      <c r="F254" s="4" t="inlineStr">
        <is>
          <t>无</t>
        </is>
      </c>
      <c r="G254" s="4" t="inlineStr">
        <is>
          <t>无</t>
        </is>
      </c>
      <c r="H254" s="4" t="inlineStr">
        <is>
          <t>♠5</t>
        </is>
      </c>
      <c r="I254" s="4" t="inlineStr">
        <is>
          <t>玩4</t>
        </is>
      </c>
      <c r="J254" s="4" t="n">
        <v>5</v>
      </c>
      <c r="K254" s="4" t="inlineStr">
        <is>
          <t>抓分方</t>
        </is>
      </c>
    </row>
    <row r="255">
      <c r="A255" s="4" t="n">
        <v>28</v>
      </c>
      <c r="B255" s="4" t="n">
        <v>1</v>
      </c>
      <c r="C255" s="4" t="inlineStr">
        <is>
          <t>对子</t>
        </is>
      </c>
      <c r="D255" s="4" t="inlineStr">
        <is>
          <t>玩4</t>
        </is>
      </c>
      <c r="E255" s="4" t="inlineStr">
        <is>
          <t>♣5 ♣7</t>
        </is>
      </c>
      <c r="F255" s="4" t="inlineStr">
        <is>
          <t>♣4 ♣8</t>
        </is>
      </c>
      <c r="G255" s="4" t="inlineStr">
        <is>
          <t>♣2 ♣3</t>
        </is>
      </c>
      <c r="H255" s="4" t="inlineStr">
        <is>
          <t>♣Q ♦Q</t>
        </is>
      </c>
      <c r="I255" s="4" t="inlineStr">
        <is>
          <t>玩3</t>
        </is>
      </c>
      <c r="J255" s="4" t="n">
        <v>5</v>
      </c>
      <c r="K255" s="4" t="inlineStr">
        <is>
          <t>抓分方</t>
        </is>
      </c>
    </row>
    <row r="256">
      <c r="A256" s="4" t="n">
        <v>28</v>
      </c>
      <c r="B256" s="4" t="n">
        <v>2</v>
      </c>
      <c r="C256" s="4" t="inlineStr">
        <is>
          <t>对子</t>
        </is>
      </c>
      <c r="D256" s="4" t="inlineStr">
        <is>
          <t>玩3</t>
        </is>
      </c>
      <c r="E256" s="4" t="inlineStr">
        <is>
          <t>♥4 ♥5</t>
        </is>
      </c>
      <c r="F256" s="4" t="inlineStr">
        <is>
          <t>♥3 ♥6</t>
        </is>
      </c>
      <c r="G256" s="4" t="inlineStr">
        <is>
          <t>♥7 ♠7</t>
        </is>
      </c>
      <c r="H256" s="4" t="inlineStr">
        <is>
          <t>♥2 ♥9</t>
        </is>
      </c>
      <c r="I256" s="4" t="inlineStr">
        <is>
          <t>玩2</t>
        </is>
      </c>
      <c r="J256" s="4" t="n">
        <v>5</v>
      </c>
      <c r="K256" s="4" t="inlineStr">
        <is>
          <t>庄家方</t>
        </is>
      </c>
    </row>
    <row r="257">
      <c r="A257" s="4" t="n">
        <v>28</v>
      </c>
      <c r="B257" s="4" t="n">
        <v>3</v>
      </c>
      <c r="C257" s="4" t="inlineStr">
        <is>
          <t>对子</t>
        </is>
      </c>
      <c r="D257" s="4" t="inlineStr">
        <is>
          <t>玩2</t>
        </is>
      </c>
      <c r="E257" s="4" t="inlineStr">
        <is>
          <t>♠4 ♠9</t>
        </is>
      </c>
      <c r="F257" s="4" t="inlineStr">
        <is>
          <t>♠Q ♥Q</t>
        </is>
      </c>
      <c r="G257" s="4" t="inlineStr">
        <is>
          <t>♠6 ♠8</t>
        </is>
      </c>
      <c r="H257" s="4" t="inlineStr">
        <is>
          <t>♠2 ♠5</t>
        </is>
      </c>
      <c r="I257" s="4" t="inlineStr">
        <is>
          <t>玩4</t>
        </is>
      </c>
      <c r="J257" s="4" t="n">
        <v>5</v>
      </c>
      <c r="K257" s="4" t="inlineStr">
        <is>
          <t>庄家方</t>
        </is>
      </c>
    </row>
    <row r="258">
      <c r="A258" s="4" t="n">
        <v>28</v>
      </c>
      <c r="B258" s="4" t="n">
        <v>4</v>
      </c>
      <c r="C258" s="4" t="inlineStr">
        <is>
          <t>单张</t>
        </is>
      </c>
      <c r="D258" s="4" t="inlineStr">
        <is>
          <t>玩4</t>
        </is>
      </c>
      <c r="E258" s="4" t="inlineStr">
        <is>
          <t>♦A</t>
        </is>
      </c>
      <c r="F258" s="4" t="inlineStr">
        <is>
          <t>♦8</t>
        </is>
      </c>
      <c r="G258" s="4" t="inlineStr">
        <is>
          <t>♦3</t>
        </is>
      </c>
      <c r="H258" s="4" t="inlineStr">
        <is>
          <t>♦9</t>
        </is>
      </c>
      <c r="I258" s="4" t="inlineStr">
        <is>
          <t>玩1</t>
        </is>
      </c>
      <c r="J258" s="4" t="n">
        <v>0</v>
      </c>
      <c r="K258" s="4" t="inlineStr">
        <is>
          <t>抓分方</t>
        </is>
      </c>
    </row>
    <row r="259">
      <c r="A259" s="4" t="n">
        <v>28</v>
      </c>
      <c r="B259" s="4" t="n">
        <v>5</v>
      </c>
      <c r="C259" s="4" t="inlineStr">
        <is>
          <t>单张</t>
        </is>
      </c>
      <c r="D259" s="4" t="inlineStr">
        <is>
          <t>玩1</t>
        </is>
      </c>
      <c r="E259" s="4" t="inlineStr">
        <is>
          <t>♠J</t>
        </is>
      </c>
      <c r="F259" s="4" t="inlineStr">
        <is>
          <t>♠A</t>
        </is>
      </c>
      <c r="G259" s="4" t="inlineStr">
        <is>
          <t>♠10</t>
        </is>
      </c>
      <c r="H259" s="4" t="inlineStr">
        <is>
          <t>♠K</t>
        </is>
      </c>
      <c r="I259" s="4" t="inlineStr">
        <is>
          <t>玩2</t>
        </is>
      </c>
      <c r="J259" s="4" t="n">
        <v>20</v>
      </c>
      <c r="K259" s="4" t="inlineStr">
        <is>
          <t>庄家方</t>
        </is>
      </c>
    </row>
    <row r="260">
      <c r="A260" s="4" t="n">
        <v>28</v>
      </c>
      <c r="B260" s="4" t="n">
        <v>6</v>
      </c>
      <c r="C260" s="4" t="inlineStr">
        <is>
          <t>对子</t>
        </is>
      </c>
      <c r="D260" s="4" t="inlineStr">
        <is>
          <t>玩2</t>
        </is>
      </c>
      <c r="E260" s="4" t="inlineStr">
        <is>
          <t>大王</t>
        </is>
      </c>
      <c r="F260" s="4" t="inlineStr">
        <is>
          <t>♦J ♣J</t>
        </is>
      </c>
      <c r="G260" s="4" t="inlineStr">
        <is>
          <t>♦4 ♣9</t>
        </is>
      </c>
      <c r="H260" s="4" t="inlineStr">
        <is>
          <t>♦2 ♦10</t>
        </is>
      </c>
      <c r="I260" s="4" t="inlineStr">
        <is>
          <t>玩1</t>
        </is>
      </c>
      <c r="J260" s="4" t="n">
        <v>10</v>
      </c>
      <c r="K260" s="4" t="inlineStr">
        <is>
          <t>抓分方</t>
        </is>
      </c>
    </row>
    <row r="261">
      <c r="A261" s="4" t="n">
        <v>28</v>
      </c>
      <c r="B261" s="4" t="n">
        <v>7</v>
      </c>
      <c r="C261" s="4" t="inlineStr">
        <is>
          <t>单张</t>
        </is>
      </c>
      <c r="D261" s="4" t="inlineStr">
        <is>
          <t>玩1</t>
        </is>
      </c>
      <c r="E261" s="4" t="inlineStr">
        <is>
          <t>♣A</t>
        </is>
      </c>
      <c r="F261" s="4" t="inlineStr">
        <is>
          <t>♥A</t>
        </is>
      </c>
      <c r="G261" s="4" t="inlineStr">
        <is>
          <t>♥10</t>
        </is>
      </c>
      <c r="H261" s="4" t="inlineStr">
        <is>
          <t>♣K</t>
        </is>
      </c>
      <c r="I261" s="4" t="inlineStr">
        <is>
          <t>玩1</t>
        </is>
      </c>
      <c r="J261" s="4" t="n">
        <v>20</v>
      </c>
      <c r="K261" s="4" t="inlineStr">
        <is>
          <t>抓分方</t>
        </is>
      </c>
    </row>
    <row r="262">
      <c r="A262" s="4" t="n">
        <v>28</v>
      </c>
      <c r="B262" s="4" t="n">
        <v>8</v>
      </c>
      <c r="C262" s="4" t="inlineStr">
        <is>
          <t>单张</t>
        </is>
      </c>
      <c r="D262" s="4" t="inlineStr">
        <is>
          <t>玩1</t>
        </is>
      </c>
      <c r="E262" s="4" t="inlineStr">
        <is>
          <t>♦5</t>
        </is>
      </c>
      <c r="F262" s="4" t="inlineStr">
        <is>
          <t>小王</t>
        </is>
      </c>
      <c r="G262" s="4" t="inlineStr">
        <is>
          <t>♥K</t>
        </is>
      </c>
      <c r="H262" s="4" t="inlineStr">
        <is>
          <t>♥J</t>
        </is>
      </c>
      <c r="I262" s="4" t="inlineStr">
        <is>
          <t>玩2</t>
        </is>
      </c>
      <c r="J262" s="4" t="n">
        <v>15</v>
      </c>
      <c r="K262" s="4" t="inlineStr">
        <is>
          <t>庄家方</t>
        </is>
      </c>
    </row>
    <row r="263">
      <c r="A263" s="4" t="n">
        <v>28</v>
      </c>
      <c r="B263" s="4" t="n">
        <v>9</v>
      </c>
      <c r="C263" s="4" t="inlineStr">
        <is>
          <t>单张</t>
        </is>
      </c>
      <c r="D263" s="4" t="inlineStr">
        <is>
          <t>玩2</t>
        </is>
      </c>
      <c r="E263" s="4" t="inlineStr">
        <is>
          <t>♣10</t>
        </is>
      </c>
      <c r="F263" s="4" t="inlineStr">
        <is>
          <t>无</t>
        </is>
      </c>
      <c r="G263" s="4" t="inlineStr">
        <is>
          <t>无</t>
        </is>
      </c>
      <c r="H263" s="4" t="inlineStr">
        <is>
          <t>无</t>
        </is>
      </c>
      <c r="I263" s="4" t="inlineStr">
        <is>
          <t>玩1</t>
        </is>
      </c>
      <c r="J263" s="4" t="n">
        <v>10</v>
      </c>
      <c r="K263" s="4" t="inlineStr">
        <is>
          <t>抓分方</t>
        </is>
      </c>
    </row>
    <row r="264">
      <c r="A264" s="4" t="n">
        <v>29</v>
      </c>
      <c r="B264" s="4" t="n">
        <v>1</v>
      </c>
      <c r="C264" s="4" t="inlineStr">
        <is>
          <t>对子</t>
        </is>
      </c>
      <c r="D264" s="4" t="inlineStr">
        <is>
          <t>玩1</t>
        </is>
      </c>
      <c r="E264" s="4" t="inlineStr">
        <is>
          <t>♦2 ♣2</t>
        </is>
      </c>
      <c r="F264" s="4" t="inlineStr">
        <is>
          <t>♦5 ♦7</t>
        </is>
      </c>
      <c r="G264" s="4" t="inlineStr">
        <is>
          <t>♦3 ♦J</t>
        </is>
      </c>
      <c r="H264" s="4" t="inlineStr">
        <is>
          <t>♦8 ♦A</t>
        </is>
      </c>
      <c r="I264" s="4" t="inlineStr">
        <is>
          <t>玩1</t>
        </is>
      </c>
      <c r="J264" s="4" t="n">
        <v>5</v>
      </c>
      <c r="K264" s="4" t="inlineStr">
        <is>
          <t>庄家方</t>
        </is>
      </c>
    </row>
    <row r="265">
      <c r="A265" s="4" t="n">
        <v>29</v>
      </c>
      <c r="B265" s="4" t="n">
        <v>2</v>
      </c>
      <c r="C265" s="4" t="inlineStr">
        <is>
          <t>单张</t>
        </is>
      </c>
      <c r="D265" s="4" t="inlineStr">
        <is>
          <t>玩1</t>
        </is>
      </c>
      <c r="E265" s="4" t="inlineStr">
        <is>
          <t>♦6</t>
        </is>
      </c>
      <c r="F265" s="4" t="inlineStr">
        <is>
          <t>♦9</t>
        </is>
      </c>
      <c r="G265" s="4" t="inlineStr">
        <is>
          <t>♦K</t>
        </is>
      </c>
      <c r="H265" s="4" t="inlineStr">
        <is>
          <t>♠2</t>
        </is>
      </c>
      <c r="I265" s="4" t="inlineStr">
        <is>
          <t>玩4</t>
        </is>
      </c>
      <c r="J265" s="4" t="n">
        <v>10</v>
      </c>
      <c r="K265" s="4" t="inlineStr">
        <is>
          <t>抓分方</t>
        </is>
      </c>
    </row>
    <row r="266">
      <c r="A266" s="4" t="n">
        <v>29</v>
      </c>
      <c r="B266" s="4" t="n">
        <v>3</v>
      </c>
      <c r="C266" s="4" t="inlineStr">
        <is>
          <t>对子</t>
        </is>
      </c>
      <c r="D266" s="4" t="inlineStr">
        <is>
          <t>玩4</t>
        </is>
      </c>
      <c r="E266" s="4" t="inlineStr">
        <is>
          <t>♠5 ♠10</t>
        </is>
      </c>
      <c r="F266" s="4" t="inlineStr">
        <is>
          <t>♠4 ♠6</t>
        </is>
      </c>
      <c r="G266" s="4" t="inlineStr">
        <is>
          <t>♠3 ♠J</t>
        </is>
      </c>
      <c r="H266" s="4" t="inlineStr">
        <is>
          <t>♠A ♥A</t>
        </is>
      </c>
      <c r="I266" s="4" t="inlineStr">
        <is>
          <t>玩4</t>
        </is>
      </c>
      <c r="J266" s="4" t="n">
        <v>15</v>
      </c>
      <c r="K266" s="4" t="inlineStr">
        <is>
          <t>抓分方</t>
        </is>
      </c>
    </row>
    <row r="267">
      <c r="A267" s="4" t="n">
        <v>29</v>
      </c>
      <c r="B267" s="4" t="n">
        <v>4</v>
      </c>
      <c r="C267" s="4" t="inlineStr">
        <is>
          <t>对子</t>
        </is>
      </c>
      <c r="D267" s="4" t="inlineStr">
        <is>
          <t>玩4</t>
        </is>
      </c>
      <c r="E267" s="4" t="inlineStr">
        <is>
          <t>♥2 ♥J</t>
        </is>
      </c>
      <c r="F267" s="4" t="inlineStr">
        <is>
          <t>♥4 ♥5</t>
        </is>
      </c>
      <c r="G267" s="4" t="inlineStr">
        <is>
          <t>♥3 ♥10</t>
        </is>
      </c>
      <c r="H267" s="4" t="inlineStr">
        <is>
          <t>♥Q ♣Q</t>
        </is>
      </c>
      <c r="I267" s="4" t="inlineStr">
        <is>
          <t>玩3</t>
        </is>
      </c>
      <c r="J267" s="4" t="n">
        <v>15</v>
      </c>
      <c r="K267" s="4" t="inlineStr">
        <is>
          <t>庄家方</t>
        </is>
      </c>
    </row>
    <row r="268">
      <c r="A268" s="4" t="n">
        <v>29</v>
      </c>
      <c r="B268" s="4" t="n">
        <v>5</v>
      </c>
      <c r="C268" s="4" t="inlineStr">
        <is>
          <t>单张</t>
        </is>
      </c>
      <c r="D268" s="4" t="inlineStr">
        <is>
          <t>玩3</t>
        </is>
      </c>
      <c r="E268" s="4" t="inlineStr">
        <is>
          <t>♦10</t>
        </is>
      </c>
      <c r="F268" s="4" t="inlineStr">
        <is>
          <t>♣8</t>
        </is>
      </c>
      <c r="G268" s="4" t="inlineStr">
        <is>
          <t>♣6</t>
        </is>
      </c>
      <c r="H268" s="4" t="inlineStr">
        <is>
          <t>♣4</t>
        </is>
      </c>
      <c r="I268" s="4" t="inlineStr">
        <is>
          <t>玩2</t>
        </is>
      </c>
      <c r="J268" s="4" t="n">
        <v>10</v>
      </c>
      <c r="K268" s="4" t="inlineStr">
        <is>
          <t>抓分方</t>
        </is>
      </c>
    </row>
    <row r="269">
      <c r="A269" s="4" t="n">
        <v>29</v>
      </c>
      <c r="B269" s="4" t="n">
        <v>6</v>
      </c>
      <c r="C269" s="4" t="inlineStr">
        <is>
          <t>单张</t>
        </is>
      </c>
      <c r="D269" s="4" t="inlineStr">
        <is>
          <t>玩2</t>
        </is>
      </c>
      <c r="E269" s="4" t="inlineStr">
        <is>
          <t>♥K</t>
        </is>
      </c>
      <c r="F269" s="4" t="inlineStr">
        <is>
          <t>♥6</t>
        </is>
      </c>
      <c r="G269" s="4" t="inlineStr">
        <is>
          <t>♣5</t>
        </is>
      </c>
      <c r="H269" s="4" t="inlineStr">
        <is>
          <t>♠7</t>
        </is>
      </c>
      <c r="I269" s="4" t="inlineStr">
        <is>
          <t>玩1</t>
        </is>
      </c>
      <c r="J269" s="4" t="n">
        <v>15</v>
      </c>
      <c r="K269" s="4" t="inlineStr">
        <is>
          <t>庄家方</t>
        </is>
      </c>
    </row>
    <row r="270">
      <c r="A270" s="4" t="n">
        <v>29</v>
      </c>
      <c r="B270" s="4" t="n">
        <v>7</v>
      </c>
      <c r="C270" s="4" t="inlineStr">
        <is>
          <t>单张</t>
        </is>
      </c>
      <c r="D270" s="4" t="inlineStr">
        <is>
          <t>玩1</t>
        </is>
      </c>
      <c r="E270" s="4" t="inlineStr">
        <is>
          <t>♦Q</t>
        </is>
      </c>
      <c r="F270" s="4" t="inlineStr">
        <is>
          <t>♥7</t>
        </is>
      </c>
      <c r="G270" s="4" t="inlineStr">
        <is>
          <t>♣J</t>
        </is>
      </c>
      <c r="H270" s="4" t="inlineStr">
        <is>
          <t>♠8</t>
        </is>
      </c>
      <c r="I270" s="4" t="inlineStr">
        <is>
          <t>玩1</t>
        </is>
      </c>
      <c r="J270" s="4" t="n">
        <v>0</v>
      </c>
      <c r="K270" s="4" t="inlineStr">
        <is>
          <t>庄家方</t>
        </is>
      </c>
    </row>
    <row r="271">
      <c r="A271" s="4" t="n">
        <v>29</v>
      </c>
      <c r="B271" s="4" t="n">
        <v>8</v>
      </c>
      <c r="C271" s="4" t="inlineStr">
        <is>
          <t>单张</t>
        </is>
      </c>
      <c r="D271" s="4" t="inlineStr">
        <is>
          <t>玩1</t>
        </is>
      </c>
      <c r="E271" s="4" t="inlineStr">
        <is>
          <t>大王</t>
        </is>
      </c>
      <c r="F271" s="4" t="inlineStr">
        <is>
          <t>♣9</t>
        </is>
      </c>
      <c r="G271" s="4" t="inlineStr">
        <is>
          <t>♣K</t>
        </is>
      </c>
      <c r="H271" s="4" t="inlineStr">
        <is>
          <t>♠9</t>
        </is>
      </c>
      <c r="I271" s="4" t="inlineStr">
        <is>
          <t>玩1</t>
        </is>
      </c>
      <c r="J271" s="4" t="n">
        <v>10</v>
      </c>
      <c r="K271" s="4" t="inlineStr">
        <is>
          <t>庄家方</t>
        </is>
      </c>
    </row>
    <row r="272">
      <c r="A272" s="4" t="n">
        <v>29</v>
      </c>
      <c r="B272" s="4" t="n">
        <v>9</v>
      </c>
      <c r="C272" s="4" t="inlineStr">
        <is>
          <t>单张</t>
        </is>
      </c>
      <c r="D272" s="4" t="inlineStr">
        <is>
          <t>玩1</t>
        </is>
      </c>
      <c r="E272" s="4" t="inlineStr">
        <is>
          <t>小王</t>
        </is>
      </c>
      <c r="F272" s="4" t="inlineStr">
        <is>
          <t>♠Q</t>
        </is>
      </c>
      <c r="G272" s="4" t="inlineStr">
        <is>
          <t>♠K</t>
        </is>
      </c>
      <c r="H272" s="4" t="inlineStr">
        <is>
          <t>♣10</t>
        </is>
      </c>
      <c r="I272" s="4" t="inlineStr">
        <is>
          <t>玩1</t>
        </is>
      </c>
      <c r="J272" s="4" t="n">
        <v>20</v>
      </c>
      <c r="K272" s="4" t="inlineStr">
        <is>
          <t>庄家方</t>
        </is>
      </c>
    </row>
    <row r="273">
      <c r="A273" s="4" t="n">
        <v>30</v>
      </c>
      <c r="B273" s="4" t="n">
        <v>1</v>
      </c>
      <c r="C273" s="4" t="inlineStr">
        <is>
          <t>对子</t>
        </is>
      </c>
      <c r="D273" s="4" t="inlineStr">
        <is>
          <t>玩2</t>
        </is>
      </c>
      <c r="E273" s="4" t="inlineStr">
        <is>
          <t>♣3 ♣6</t>
        </is>
      </c>
      <c r="F273" s="4" t="inlineStr">
        <is>
          <t>♣2 ♠2</t>
        </is>
      </c>
      <c r="G273" s="4" t="inlineStr">
        <is>
          <t>♣4 ♣8</t>
        </is>
      </c>
      <c r="H273" s="4" t="inlineStr">
        <is>
          <t>♣5 ♣7</t>
        </is>
      </c>
      <c r="I273" s="4" t="inlineStr">
        <is>
          <t>玩2</t>
        </is>
      </c>
      <c r="J273" s="4" t="n">
        <v>5</v>
      </c>
      <c r="K273" s="4" t="inlineStr">
        <is>
          <t>庄家方</t>
        </is>
      </c>
    </row>
    <row r="274">
      <c r="A274" s="4" t="n">
        <v>30</v>
      </c>
      <c r="B274" s="4" t="n">
        <v>2</v>
      </c>
      <c r="C274" s="4" t="inlineStr">
        <is>
          <t>对子</t>
        </is>
      </c>
      <c r="D274" s="4" t="inlineStr">
        <is>
          <t>玩2</t>
        </is>
      </c>
      <c r="E274" s="4" t="inlineStr">
        <is>
          <t>♠4 ♠6</t>
        </is>
      </c>
      <c r="F274" s="4" t="inlineStr">
        <is>
          <t>♥A ♦A</t>
        </is>
      </c>
      <c r="G274" s="4" t="inlineStr">
        <is>
          <t>♥4 ♥10</t>
        </is>
      </c>
      <c r="H274" s="4" t="inlineStr">
        <is>
          <t>♥2 ♥3</t>
        </is>
      </c>
      <c r="I274" s="4" t="inlineStr">
        <is>
          <t>玩4</t>
        </is>
      </c>
      <c r="J274" s="4" t="n">
        <v>10</v>
      </c>
      <c r="K274" s="4" t="inlineStr">
        <is>
          <t>庄家方</t>
        </is>
      </c>
    </row>
    <row r="275">
      <c r="A275" s="4" t="n">
        <v>30</v>
      </c>
      <c r="B275" s="4" t="n">
        <v>3</v>
      </c>
      <c r="C275" s="4" t="inlineStr">
        <is>
          <t>对子</t>
        </is>
      </c>
      <c r="D275" s="4" t="inlineStr">
        <is>
          <t>玩4</t>
        </is>
      </c>
      <c r="E275" s="4" t="inlineStr">
        <is>
          <t>♥6 ♦7</t>
        </is>
      </c>
      <c r="F275" s="4" t="inlineStr">
        <is>
          <t>♠5 ♠10</t>
        </is>
      </c>
      <c r="G275" s="4" t="inlineStr">
        <is>
          <t>♠7 ♠Q</t>
        </is>
      </c>
      <c r="H275" s="4" t="inlineStr">
        <is>
          <t>♠J ♦J</t>
        </is>
      </c>
      <c r="I275" s="4" t="inlineStr">
        <is>
          <t>玩3</t>
        </is>
      </c>
      <c r="J275" s="4" t="n">
        <v>15</v>
      </c>
      <c r="K275" s="4" t="inlineStr">
        <is>
          <t>抓分方</t>
        </is>
      </c>
    </row>
    <row r="276">
      <c r="A276" s="4" t="n">
        <v>30</v>
      </c>
      <c r="B276" s="4" t="n">
        <v>4</v>
      </c>
      <c r="C276" s="4" t="inlineStr">
        <is>
          <t>单张</t>
        </is>
      </c>
      <c r="D276" s="4" t="inlineStr">
        <is>
          <t>玩3</t>
        </is>
      </c>
      <c r="E276" s="4" t="inlineStr">
        <is>
          <t>♦8</t>
        </is>
      </c>
      <c r="F276" s="4" t="inlineStr">
        <is>
          <t>♦4</t>
        </is>
      </c>
      <c r="G276" s="4" t="inlineStr">
        <is>
          <t>♦3</t>
        </is>
      </c>
      <c r="H276" s="4" t="inlineStr">
        <is>
          <t>♦6</t>
        </is>
      </c>
      <c r="I276" s="4" t="inlineStr">
        <is>
          <t>玩1</t>
        </is>
      </c>
      <c r="J276" s="4" t="n">
        <v>0</v>
      </c>
      <c r="K276" s="4" t="inlineStr">
        <is>
          <t>抓分方</t>
        </is>
      </c>
    </row>
    <row r="277">
      <c r="A277" s="4" t="n">
        <v>30</v>
      </c>
      <c r="B277" s="4" t="n">
        <v>5</v>
      </c>
      <c r="C277" s="4" t="inlineStr">
        <is>
          <t>对子</t>
        </is>
      </c>
      <c r="D277" s="4" t="inlineStr">
        <is>
          <t>玩1</t>
        </is>
      </c>
      <c r="E277" s="4" t="inlineStr">
        <is>
          <t>♣Q ♦Q</t>
        </is>
      </c>
      <c r="F277" s="4" t="inlineStr">
        <is>
          <t>♣9 ♣10</t>
        </is>
      </c>
      <c r="G277" s="4" t="inlineStr">
        <is>
          <t>♦2 大王</t>
        </is>
      </c>
      <c r="H277" s="4" t="inlineStr">
        <is>
          <t>♠3 ♥8</t>
        </is>
      </c>
      <c r="I277" s="4" t="inlineStr">
        <is>
          <t>玩3</t>
        </is>
      </c>
      <c r="J277" s="4" t="n">
        <v>10</v>
      </c>
      <c r="K277" s="4" t="inlineStr">
        <is>
          <t>抓分方</t>
        </is>
      </c>
    </row>
    <row r="278">
      <c r="A278" s="4" t="n">
        <v>30</v>
      </c>
      <c r="B278" s="4" t="n">
        <v>6</v>
      </c>
      <c r="C278" s="4" t="inlineStr">
        <is>
          <t>单张</t>
        </is>
      </c>
      <c r="D278" s="4" t="inlineStr">
        <is>
          <t>玩3</t>
        </is>
      </c>
      <c r="E278" s="4" t="inlineStr">
        <is>
          <t>♠K</t>
        </is>
      </c>
      <c r="F278" s="4" t="inlineStr">
        <is>
          <t>♥J</t>
        </is>
      </c>
      <c r="G278" s="4" t="inlineStr">
        <is>
          <t>♠A</t>
        </is>
      </c>
      <c r="H278" s="4" t="inlineStr">
        <is>
          <t>♠8</t>
        </is>
      </c>
      <c r="I278" s="4" t="inlineStr">
        <is>
          <t>玩3</t>
        </is>
      </c>
      <c r="J278" s="4" t="n">
        <v>10</v>
      </c>
      <c r="K278" s="4" t="inlineStr">
        <is>
          <t>抓分方</t>
        </is>
      </c>
    </row>
    <row r="279">
      <c r="A279" s="4" t="n">
        <v>30</v>
      </c>
      <c r="B279" s="4" t="n">
        <v>7</v>
      </c>
      <c r="C279" s="4" t="inlineStr">
        <is>
          <t>单张</t>
        </is>
      </c>
      <c r="D279" s="4" t="inlineStr">
        <is>
          <t>玩3</t>
        </is>
      </c>
      <c r="E279" s="4" t="inlineStr">
        <is>
          <t>♦10</t>
        </is>
      </c>
      <c r="F279" s="4" t="inlineStr">
        <is>
          <t>♦K</t>
        </is>
      </c>
      <c r="G279" s="4" t="inlineStr">
        <is>
          <t>♦5</t>
        </is>
      </c>
      <c r="H279" s="4" t="inlineStr">
        <is>
          <t>♦9</t>
        </is>
      </c>
      <c r="I279" s="4" t="inlineStr">
        <is>
          <t>玩2</t>
        </is>
      </c>
      <c r="J279" s="4" t="n">
        <v>25</v>
      </c>
      <c r="K279" s="4" t="inlineStr">
        <is>
          <t>庄家方</t>
        </is>
      </c>
    </row>
    <row r="280">
      <c r="A280" s="4" t="n">
        <v>30</v>
      </c>
      <c r="B280" s="4" t="n">
        <v>8</v>
      </c>
      <c r="C280" s="4" t="inlineStr">
        <is>
          <t>单张</t>
        </is>
      </c>
      <c r="D280" s="4" t="inlineStr">
        <is>
          <t>玩2</t>
        </is>
      </c>
      <c r="E280" s="4" t="inlineStr">
        <is>
          <t>♣A</t>
        </is>
      </c>
      <c r="F280" s="4" t="inlineStr">
        <is>
          <t>♣K</t>
        </is>
      </c>
      <c r="G280" s="4" t="inlineStr">
        <is>
          <t>♥K</t>
        </is>
      </c>
      <c r="H280" s="4" t="inlineStr">
        <is>
          <t>小王</t>
        </is>
      </c>
      <c r="I280" s="4" t="inlineStr">
        <is>
          <t>玩4</t>
        </is>
      </c>
      <c r="J280" s="4" t="n">
        <v>20</v>
      </c>
      <c r="K280" s="4" t="inlineStr">
        <is>
          <t>庄家方</t>
        </is>
      </c>
    </row>
    <row r="281">
      <c r="A281" s="4" t="n">
        <v>31</v>
      </c>
      <c r="B281" s="4" t="n">
        <v>1</v>
      </c>
      <c r="C281" s="4" t="inlineStr">
        <is>
          <t>对子</t>
        </is>
      </c>
      <c r="D281" s="4" t="inlineStr">
        <is>
          <t>玩3</t>
        </is>
      </c>
      <c r="E281" s="4" t="inlineStr">
        <is>
          <t>♠5 ♠9</t>
        </is>
      </c>
      <c r="F281" s="4" t="inlineStr">
        <is>
          <t>♠3 ♠4</t>
        </is>
      </c>
      <c r="G281" s="4" t="inlineStr">
        <is>
          <t>♠8 ♣8</t>
        </is>
      </c>
      <c r="H281" s="4" t="inlineStr">
        <is>
          <t>♠2 ♠Q</t>
        </is>
      </c>
      <c r="I281" s="4" t="inlineStr">
        <is>
          <t>玩4</t>
        </is>
      </c>
      <c r="J281" s="4" t="n">
        <v>5</v>
      </c>
      <c r="K281" s="4" t="inlineStr">
        <is>
          <t>抓分方</t>
        </is>
      </c>
    </row>
    <row r="282">
      <c r="A282" s="4" t="n">
        <v>31</v>
      </c>
      <c r="B282" s="4" t="n">
        <v>2</v>
      </c>
      <c r="C282" s="4" t="inlineStr">
        <is>
          <t>对子</t>
        </is>
      </c>
      <c r="D282" s="4" t="inlineStr">
        <is>
          <t>玩4</t>
        </is>
      </c>
      <c r="E282" s="4" t="inlineStr">
        <is>
          <t>♦4 ♦6</t>
        </is>
      </c>
      <c r="F282" s="4" t="inlineStr">
        <is>
          <t>♦3 ♦J</t>
        </is>
      </c>
      <c r="G282" s="4" t="inlineStr">
        <is>
          <t>♣4 ♥7</t>
        </is>
      </c>
      <c r="H282" s="4" t="inlineStr">
        <is>
          <t>♦9 ♥9</t>
        </is>
      </c>
      <c r="I282" s="4" t="inlineStr">
        <is>
          <t>玩2</t>
        </is>
      </c>
      <c r="J282" s="4" t="n">
        <v>0</v>
      </c>
      <c r="K282" s="4" t="inlineStr">
        <is>
          <t>抓分方</t>
        </is>
      </c>
    </row>
    <row r="283">
      <c r="A283" s="4" t="n">
        <v>31</v>
      </c>
      <c r="B283" s="4" t="n">
        <v>3</v>
      </c>
      <c r="C283" s="4" t="inlineStr">
        <is>
          <t>对子</t>
        </is>
      </c>
      <c r="D283" s="4" t="inlineStr">
        <is>
          <t>玩2</t>
        </is>
      </c>
      <c r="E283" s="4" t="inlineStr">
        <is>
          <t>♦7 ♦8</t>
        </is>
      </c>
      <c r="F283" s="4" t="inlineStr">
        <is>
          <t>♦Q ♣Q</t>
        </is>
      </c>
      <c r="G283" s="4" t="inlineStr">
        <is>
          <t>♠7 ♣10</t>
        </is>
      </c>
      <c r="H283" s="4" t="inlineStr">
        <is>
          <t>♦2 ♥3</t>
        </is>
      </c>
      <c r="I283" s="4" t="inlineStr">
        <is>
          <t>玩4</t>
        </is>
      </c>
      <c r="J283" s="4" t="n">
        <v>10</v>
      </c>
      <c r="K283" s="4" t="inlineStr">
        <is>
          <t>抓分方</t>
        </is>
      </c>
    </row>
    <row r="284">
      <c r="A284" s="4" t="n">
        <v>31</v>
      </c>
      <c r="B284" s="4" t="n">
        <v>4</v>
      </c>
      <c r="C284" s="4" t="inlineStr">
        <is>
          <t>单张</t>
        </is>
      </c>
      <c r="D284" s="4" t="inlineStr">
        <is>
          <t>玩4</t>
        </is>
      </c>
      <c r="E284" s="4" t="inlineStr">
        <is>
          <t>♥8</t>
        </is>
      </c>
      <c r="F284" s="4" t="inlineStr">
        <is>
          <t>♥J</t>
        </is>
      </c>
      <c r="G284" s="4" t="inlineStr">
        <is>
          <t>♥2</t>
        </is>
      </c>
      <c r="H284" s="4" t="inlineStr">
        <is>
          <t>♥4</t>
        </is>
      </c>
      <c r="I284" s="4" t="inlineStr">
        <is>
          <t>玩3</t>
        </is>
      </c>
      <c r="J284" s="4" t="n">
        <v>0</v>
      </c>
      <c r="K284" s="4" t="inlineStr">
        <is>
          <t>庄家方</t>
        </is>
      </c>
    </row>
    <row r="285">
      <c r="A285" s="4" t="n">
        <v>31</v>
      </c>
      <c r="B285" s="4" t="n">
        <v>5</v>
      </c>
      <c r="C285" s="4" t="inlineStr">
        <is>
          <t>单张</t>
        </is>
      </c>
      <c r="D285" s="4" t="inlineStr">
        <is>
          <t>玩3</t>
        </is>
      </c>
      <c r="E285" s="4" t="inlineStr">
        <is>
          <t>♥5</t>
        </is>
      </c>
      <c r="F285" s="4" t="inlineStr">
        <is>
          <t>♣3</t>
        </is>
      </c>
      <c r="G285" s="4" t="inlineStr">
        <is>
          <t>大王</t>
        </is>
      </c>
      <c r="H285" s="4" t="inlineStr">
        <is>
          <t>小王</t>
        </is>
      </c>
      <c r="I285" s="4" t="inlineStr">
        <is>
          <t>玩3</t>
        </is>
      </c>
      <c r="J285" s="4" t="n">
        <v>5</v>
      </c>
      <c r="K285" s="4" t="inlineStr">
        <is>
          <t>庄家方</t>
        </is>
      </c>
    </row>
    <row r="286">
      <c r="A286" s="4" t="n">
        <v>31</v>
      </c>
      <c r="B286" s="4" t="n">
        <v>6</v>
      </c>
      <c r="C286" s="4" t="inlineStr">
        <is>
          <t>单张</t>
        </is>
      </c>
      <c r="D286" s="4" t="inlineStr">
        <is>
          <t>玩3</t>
        </is>
      </c>
      <c r="E286" s="4" t="inlineStr">
        <is>
          <t>♣9</t>
        </is>
      </c>
      <c r="F286" s="4" t="inlineStr">
        <is>
          <t>♠6</t>
        </is>
      </c>
      <c r="G286" s="4" t="inlineStr">
        <is>
          <t>♣2</t>
        </is>
      </c>
      <c r="H286" s="4" t="inlineStr">
        <is>
          <t>♣7</t>
        </is>
      </c>
      <c r="I286" s="4" t="inlineStr">
        <is>
          <t>玩3</t>
        </is>
      </c>
      <c r="J286" s="4" t="n">
        <v>0</v>
      </c>
      <c r="K286" s="4" t="inlineStr">
        <is>
          <t>庄家方</t>
        </is>
      </c>
    </row>
    <row r="287">
      <c r="A287" s="4" t="n">
        <v>31</v>
      </c>
      <c r="B287" s="4" t="n">
        <v>7</v>
      </c>
      <c r="C287" s="4" t="inlineStr">
        <is>
          <t>单张</t>
        </is>
      </c>
      <c r="D287" s="4" t="inlineStr">
        <is>
          <t>玩3</t>
        </is>
      </c>
      <c r="E287" s="4" t="inlineStr">
        <is>
          <t>♦10</t>
        </is>
      </c>
      <c r="F287" s="4" t="inlineStr">
        <is>
          <t>♠K</t>
        </is>
      </c>
      <c r="G287" s="4" t="inlineStr">
        <is>
          <t>♠10</t>
        </is>
      </c>
      <c r="H287" s="4" t="inlineStr">
        <is>
          <t>♥6</t>
        </is>
      </c>
      <c r="I287" s="4" t="inlineStr">
        <is>
          <t>玩2</t>
        </is>
      </c>
      <c r="J287" s="4" t="n">
        <v>30</v>
      </c>
      <c r="K287" s="4" t="inlineStr">
        <is>
          <t>抓分方</t>
        </is>
      </c>
    </row>
    <row r="288">
      <c r="A288" s="4" t="n">
        <v>31</v>
      </c>
      <c r="B288" s="4" t="n">
        <v>8</v>
      </c>
      <c r="C288" s="4" t="inlineStr">
        <is>
          <t>对子</t>
        </is>
      </c>
      <c r="D288" s="4" t="inlineStr">
        <is>
          <t>玩2</t>
        </is>
      </c>
      <c r="E288" s="4" t="inlineStr">
        <is>
          <t>♣J ♣K</t>
        </is>
      </c>
      <c r="F288" s="4" t="inlineStr">
        <is>
          <t>♠A ♥A</t>
        </is>
      </c>
      <c r="G288" s="4" t="inlineStr">
        <is>
          <t>♦K ♥K</t>
        </is>
      </c>
      <c r="H288" s="4" t="inlineStr">
        <is>
          <t>♥10 ♥Q</t>
        </is>
      </c>
      <c r="I288" s="4" t="inlineStr">
        <is>
          <t>玩2</t>
        </is>
      </c>
      <c r="J288" s="4" t="n">
        <v>40</v>
      </c>
      <c r="K288" s="4" t="inlineStr">
        <is>
          <t>抓分方</t>
        </is>
      </c>
    </row>
    <row r="289">
      <c r="A289" s="4" t="n">
        <v>32</v>
      </c>
      <c r="B289" s="4" t="n">
        <v>1</v>
      </c>
      <c r="C289" s="4" t="inlineStr">
        <is>
          <t>对子</t>
        </is>
      </c>
      <c r="D289" s="4" t="inlineStr">
        <is>
          <t>玩4</t>
        </is>
      </c>
      <c r="E289" s="4" t="inlineStr">
        <is>
          <t>♣5 ♣6</t>
        </is>
      </c>
      <c r="F289" s="4" t="inlineStr">
        <is>
          <t>♣2 ♣10</t>
        </is>
      </c>
      <c r="G289" s="4" t="inlineStr">
        <is>
          <t>小王</t>
        </is>
      </c>
      <c r="H289" s="4" t="inlineStr">
        <is>
          <t>♣4 ♥4</t>
        </is>
      </c>
      <c r="I289" s="4" t="inlineStr">
        <is>
          <t>玩3</t>
        </is>
      </c>
      <c r="J289" s="4" t="n">
        <v>15</v>
      </c>
      <c r="K289" s="4" t="inlineStr">
        <is>
          <t>抓分方</t>
        </is>
      </c>
    </row>
    <row r="290">
      <c r="A290" s="4" t="n">
        <v>32</v>
      </c>
      <c r="B290" s="4" t="n">
        <v>2</v>
      </c>
      <c r="C290" s="4" t="inlineStr">
        <is>
          <t>对子</t>
        </is>
      </c>
      <c r="D290" s="4" t="inlineStr">
        <is>
          <t>玩3</t>
        </is>
      </c>
      <c r="E290" s="4" t="inlineStr">
        <is>
          <t>♠6 ♠J</t>
        </is>
      </c>
      <c r="F290" s="4" t="inlineStr">
        <is>
          <t>♠2</t>
        </is>
      </c>
      <c r="G290" s="4" t="inlineStr">
        <is>
          <t>♠7 ♦7</t>
        </is>
      </c>
      <c r="H290" s="4" t="inlineStr">
        <is>
          <t>♠9 ♠10</t>
        </is>
      </c>
      <c r="I290" s="4" t="inlineStr">
        <is>
          <t>玩2</t>
        </is>
      </c>
      <c r="J290" s="4" t="n">
        <v>10</v>
      </c>
      <c r="K290" s="4" t="inlineStr">
        <is>
          <t>庄家方</t>
        </is>
      </c>
    </row>
    <row r="291">
      <c r="A291" s="4" t="n">
        <v>32</v>
      </c>
      <c r="B291" s="4" t="n">
        <v>3</v>
      </c>
      <c r="C291" s="4" t="inlineStr">
        <is>
          <t>对子</t>
        </is>
      </c>
      <c r="D291" s="4" t="inlineStr">
        <is>
          <t>玩2</t>
        </is>
      </c>
      <c r="E291" s="4" t="inlineStr">
        <is>
          <t>大王</t>
        </is>
      </c>
      <c r="F291" s="4" t="inlineStr">
        <is>
          <t>♥Q ♦Q</t>
        </is>
      </c>
      <c r="G291" s="4" t="inlineStr">
        <is>
          <t>♥2 ♥5</t>
        </is>
      </c>
      <c r="H291" s="4" t="inlineStr">
        <is>
          <t>♥3 ♥9</t>
        </is>
      </c>
      <c r="I291" s="4" t="inlineStr">
        <is>
          <t>玩1</t>
        </is>
      </c>
      <c r="J291" s="4" t="n">
        <v>5</v>
      </c>
      <c r="K291" s="4" t="inlineStr">
        <is>
          <t>抓分方</t>
        </is>
      </c>
    </row>
    <row r="292">
      <c r="A292" s="4" t="n">
        <v>32</v>
      </c>
      <c r="B292" s="4" t="n">
        <v>4</v>
      </c>
      <c r="C292" s="4" t="inlineStr">
        <is>
          <t>对子</t>
        </is>
      </c>
      <c r="D292" s="4" t="inlineStr">
        <is>
          <t>玩1</t>
        </is>
      </c>
      <c r="E292" s="4" t="inlineStr">
        <is>
          <t>♣8 ♦8</t>
        </is>
      </c>
      <c r="F292" s="4" t="inlineStr">
        <is>
          <t>♦3 ♦4</t>
        </is>
      </c>
      <c r="G292" s="4" t="inlineStr">
        <is>
          <t>♠4 ♠5</t>
        </is>
      </c>
      <c r="H292" s="4" t="inlineStr">
        <is>
          <t>♣9 ♣Q</t>
        </is>
      </c>
      <c r="I292" s="4" t="inlineStr">
        <is>
          <t>玩4</t>
        </is>
      </c>
      <c r="J292" s="4" t="n">
        <v>5</v>
      </c>
      <c r="K292" s="4" t="inlineStr">
        <is>
          <t>庄家方</t>
        </is>
      </c>
    </row>
    <row r="293">
      <c r="A293" s="4" t="n">
        <v>32</v>
      </c>
      <c r="B293" s="4" t="n">
        <v>5</v>
      </c>
      <c r="C293" s="4" t="inlineStr">
        <is>
          <t>单张</t>
        </is>
      </c>
      <c r="D293" s="4" t="inlineStr">
        <is>
          <t>玩4</t>
        </is>
      </c>
      <c r="E293" s="4" t="inlineStr">
        <is>
          <t>♦2</t>
        </is>
      </c>
      <c r="F293" s="4" t="inlineStr">
        <is>
          <t>♥6</t>
        </is>
      </c>
      <c r="G293" s="4" t="inlineStr">
        <is>
          <t>♦9</t>
        </is>
      </c>
      <c r="H293" s="4" t="inlineStr">
        <is>
          <t>♦6</t>
        </is>
      </c>
      <c r="I293" s="4" t="inlineStr">
        <is>
          <t>玩1</t>
        </is>
      </c>
      <c r="J293" s="4" t="n">
        <v>0</v>
      </c>
      <c r="K293" s="4" t="inlineStr">
        <is>
          <t>抓分方</t>
        </is>
      </c>
    </row>
    <row r="294">
      <c r="A294" s="4" t="n">
        <v>32</v>
      </c>
      <c r="B294" s="4" t="n">
        <v>6</v>
      </c>
      <c r="C294" s="4" t="inlineStr">
        <is>
          <t>单张</t>
        </is>
      </c>
      <c r="D294" s="4" t="inlineStr">
        <is>
          <t>玩1</t>
        </is>
      </c>
      <c r="E294" s="4" t="inlineStr">
        <is>
          <t>♣J</t>
        </is>
      </c>
      <c r="F294" s="4" t="inlineStr">
        <is>
          <t>♣K</t>
        </is>
      </c>
      <c r="G294" s="4" t="inlineStr">
        <is>
          <t>♠8</t>
        </is>
      </c>
      <c r="H294" s="4" t="inlineStr">
        <is>
          <t>♦5</t>
        </is>
      </c>
      <c r="I294" s="4" t="inlineStr">
        <is>
          <t>玩2</t>
        </is>
      </c>
      <c r="J294" s="4" t="n">
        <v>15</v>
      </c>
      <c r="K294" s="4" t="inlineStr">
        <is>
          <t>庄家方</t>
        </is>
      </c>
    </row>
    <row r="295">
      <c r="A295" s="4" t="n">
        <v>32</v>
      </c>
      <c r="B295" s="4" t="n">
        <v>7</v>
      </c>
      <c r="C295" s="4" t="inlineStr">
        <is>
          <t>单张</t>
        </is>
      </c>
      <c r="D295" s="4" t="inlineStr">
        <is>
          <t>玩2</t>
        </is>
      </c>
      <c r="E295" s="4" t="inlineStr">
        <is>
          <t>♦10</t>
        </is>
      </c>
      <c r="F295" s="4" t="inlineStr">
        <is>
          <t>♥J</t>
        </is>
      </c>
      <c r="G295" s="4" t="inlineStr">
        <is>
          <t>♥A</t>
        </is>
      </c>
      <c r="H295" s="4" t="inlineStr">
        <is>
          <t>♠Q</t>
        </is>
      </c>
      <c r="I295" s="4" t="inlineStr">
        <is>
          <t>玩3</t>
        </is>
      </c>
      <c r="J295" s="4" t="n">
        <v>10</v>
      </c>
      <c r="K295" s="4" t="inlineStr">
        <is>
          <t>抓分方</t>
        </is>
      </c>
    </row>
    <row r="296">
      <c r="A296" s="4" t="n">
        <v>32</v>
      </c>
      <c r="B296" s="4" t="n">
        <v>8</v>
      </c>
      <c r="C296" s="4" t="inlineStr">
        <is>
          <t>单张</t>
        </is>
      </c>
      <c r="D296" s="4" t="inlineStr">
        <is>
          <t>玩3</t>
        </is>
      </c>
      <c r="E296" s="4" t="inlineStr">
        <is>
          <t>♦K</t>
        </is>
      </c>
      <c r="F296" s="4" t="inlineStr">
        <is>
          <t>♥10</t>
        </is>
      </c>
      <c r="G296" s="4" t="inlineStr">
        <is>
          <t>♦J</t>
        </is>
      </c>
      <c r="H296" s="4" t="inlineStr">
        <is>
          <t>♦A</t>
        </is>
      </c>
      <c r="I296" s="4" t="inlineStr">
        <is>
          <t>玩4</t>
        </is>
      </c>
      <c r="J296" s="4" t="n">
        <v>20</v>
      </c>
      <c r="K296" s="4" t="inlineStr">
        <is>
          <t>庄家方</t>
        </is>
      </c>
    </row>
    <row r="297">
      <c r="A297" s="4" t="n">
        <v>32</v>
      </c>
      <c r="B297" s="4" t="n">
        <v>9</v>
      </c>
      <c r="C297" s="4" t="inlineStr">
        <is>
          <t>单张</t>
        </is>
      </c>
      <c r="D297" s="4" t="inlineStr">
        <is>
          <t>玩4</t>
        </is>
      </c>
      <c r="E297" s="4" t="inlineStr">
        <is>
          <t>♠A</t>
        </is>
      </c>
      <c r="F297" s="4" t="inlineStr">
        <is>
          <t>♥K</t>
        </is>
      </c>
      <c r="G297" s="4" t="inlineStr">
        <is>
          <t>♠K</t>
        </is>
      </c>
      <c r="H297" s="4" t="inlineStr">
        <is>
          <t>无</t>
        </is>
      </c>
      <c r="I297" s="4" t="inlineStr">
        <is>
          <t>玩3</t>
        </is>
      </c>
      <c r="J297" s="4" t="n">
        <v>20</v>
      </c>
      <c r="K297" s="4" t="inlineStr">
        <is>
          <t>抓分方</t>
        </is>
      </c>
    </row>
    <row r="298">
      <c r="A298" s="4" t="n">
        <v>33</v>
      </c>
      <c r="B298" s="4" t="n">
        <v>1</v>
      </c>
      <c r="C298" s="4" t="inlineStr">
        <is>
          <t>对子</t>
        </is>
      </c>
      <c r="D298" s="4" t="inlineStr">
        <is>
          <t>玩1</t>
        </is>
      </c>
      <c r="E298" s="4" t="inlineStr">
        <is>
          <t>♠A ♦A</t>
        </is>
      </c>
      <c r="F298" s="4" t="inlineStr">
        <is>
          <t>♠3 ♠Q</t>
        </is>
      </c>
      <c r="G298" s="4" t="inlineStr">
        <is>
          <t>♠6 ♠8</t>
        </is>
      </c>
      <c r="H298" s="4" t="inlineStr">
        <is>
          <t>♠4 ♠5</t>
        </is>
      </c>
      <c r="I298" s="4" t="inlineStr">
        <is>
          <t>玩1</t>
        </is>
      </c>
      <c r="J298" s="4" t="n">
        <v>5</v>
      </c>
      <c r="K298" s="4" t="inlineStr">
        <is>
          <t>庄家方</t>
        </is>
      </c>
    </row>
    <row r="299">
      <c r="A299" s="4" t="n">
        <v>33</v>
      </c>
      <c r="B299" s="4" t="n">
        <v>2</v>
      </c>
      <c r="C299" s="4" t="inlineStr">
        <is>
          <t>单张</t>
        </is>
      </c>
      <c r="D299" s="4" t="inlineStr">
        <is>
          <t>玩1</t>
        </is>
      </c>
      <c r="E299" s="4" t="inlineStr">
        <is>
          <t>♣4</t>
        </is>
      </c>
      <c r="F299" s="4" t="inlineStr">
        <is>
          <t>♣2</t>
        </is>
      </c>
      <c r="G299" s="4" t="inlineStr">
        <is>
          <t>♣8</t>
        </is>
      </c>
      <c r="H299" s="4" t="inlineStr">
        <is>
          <t>♣7</t>
        </is>
      </c>
      <c r="I299" s="4" t="inlineStr">
        <is>
          <t>玩2</t>
        </is>
      </c>
      <c r="J299" s="4" t="n">
        <v>0</v>
      </c>
      <c r="K299" s="4" t="inlineStr">
        <is>
          <t>抓分方</t>
        </is>
      </c>
    </row>
    <row r="300">
      <c r="A300" s="4" t="n">
        <v>33</v>
      </c>
      <c r="B300" s="4" t="n">
        <v>3</v>
      </c>
      <c r="C300" s="4" t="inlineStr">
        <is>
          <t>对子</t>
        </is>
      </c>
      <c r="D300" s="4" t="inlineStr">
        <is>
          <t>玩2</t>
        </is>
      </c>
      <c r="E300" s="4" t="inlineStr">
        <is>
          <t>♦2 ♦5</t>
        </is>
      </c>
      <c r="F300" s="4" t="inlineStr">
        <is>
          <t>♦4 ♥4</t>
        </is>
      </c>
      <c r="G300" s="4" t="inlineStr">
        <is>
          <t>♦6 ♦9</t>
        </is>
      </c>
      <c r="H300" s="4" t="inlineStr">
        <is>
          <t>♦7 ♦10</t>
        </is>
      </c>
      <c r="I300" s="4" t="inlineStr">
        <is>
          <t>玩1</t>
        </is>
      </c>
      <c r="J300" s="4" t="n">
        <v>15</v>
      </c>
      <c r="K300" s="4" t="inlineStr">
        <is>
          <t>庄家方</t>
        </is>
      </c>
    </row>
    <row r="301">
      <c r="A301" s="4" t="n">
        <v>33</v>
      </c>
      <c r="B301" s="4" t="n">
        <v>4</v>
      </c>
      <c r="C301" s="4" t="inlineStr">
        <is>
          <t>单张</t>
        </is>
      </c>
      <c r="D301" s="4" t="inlineStr">
        <is>
          <t>玩1</t>
        </is>
      </c>
      <c r="E301" s="4" t="inlineStr">
        <is>
          <t>♠7</t>
        </is>
      </c>
      <c r="F301" s="4" t="inlineStr">
        <is>
          <t>♦3</t>
        </is>
      </c>
      <c r="G301" s="4" t="inlineStr">
        <is>
          <t>♠9</t>
        </is>
      </c>
      <c r="H301" s="4" t="inlineStr">
        <is>
          <t>♥6</t>
        </is>
      </c>
      <c r="I301" s="4" t="inlineStr">
        <is>
          <t>玩3</t>
        </is>
      </c>
      <c r="J301" s="4" t="n">
        <v>0</v>
      </c>
      <c r="K301" s="4" t="inlineStr">
        <is>
          <t>庄家方</t>
        </is>
      </c>
    </row>
    <row r="302">
      <c r="A302" s="4" t="n">
        <v>33</v>
      </c>
      <c r="B302" s="4" t="n">
        <v>5</v>
      </c>
      <c r="C302" s="4" t="inlineStr">
        <is>
          <t>对子</t>
        </is>
      </c>
      <c r="D302" s="4" t="inlineStr">
        <is>
          <t>玩3</t>
        </is>
      </c>
      <c r="E302" s="4" t="inlineStr">
        <is>
          <t>♣5 ♣10</t>
        </is>
      </c>
      <c r="F302" s="4" t="inlineStr">
        <is>
          <t>♥2</t>
        </is>
      </c>
      <c r="G302" s="4" t="inlineStr">
        <is>
          <t>♣9 ♥9</t>
        </is>
      </c>
      <c r="H302" s="4" t="inlineStr">
        <is>
          <t>♣J ♣A</t>
        </is>
      </c>
      <c r="I302" s="4" t="inlineStr">
        <is>
          <t>玩2</t>
        </is>
      </c>
      <c r="J302" s="4" t="n">
        <v>15</v>
      </c>
      <c r="K302" s="4" t="inlineStr">
        <is>
          <t>抓分方</t>
        </is>
      </c>
    </row>
    <row r="303">
      <c r="A303" s="4" t="n">
        <v>33</v>
      </c>
      <c r="B303" s="4" t="n">
        <v>6</v>
      </c>
      <c r="C303" s="4" t="inlineStr">
        <is>
          <t>单张</t>
        </is>
      </c>
      <c r="D303" s="4" t="inlineStr">
        <is>
          <t>玩2</t>
        </is>
      </c>
      <c r="E303" s="4" t="inlineStr">
        <is>
          <t>♥3</t>
        </is>
      </c>
      <c r="F303" s="4" t="inlineStr">
        <is>
          <t>♥7</t>
        </is>
      </c>
      <c r="G303" s="4" t="inlineStr">
        <is>
          <t>♥8</t>
        </is>
      </c>
      <c r="H303" s="4" t="inlineStr">
        <is>
          <t>♥Q</t>
        </is>
      </c>
      <c r="I303" s="4" t="inlineStr">
        <is>
          <t>玩1</t>
        </is>
      </c>
      <c r="J303" s="4" t="n">
        <v>0</v>
      </c>
      <c r="K303" s="4" t="inlineStr">
        <is>
          <t>庄家方</t>
        </is>
      </c>
    </row>
    <row r="304">
      <c r="A304" s="4" t="n">
        <v>33</v>
      </c>
      <c r="B304" s="4" t="n">
        <v>7</v>
      </c>
      <c r="C304" s="4" t="inlineStr">
        <is>
          <t>单张</t>
        </is>
      </c>
      <c r="D304" s="4" t="inlineStr">
        <is>
          <t>玩1</t>
        </is>
      </c>
      <c r="E304" s="4" t="inlineStr">
        <is>
          <t>♥5</t>
        </is>
      </c>
      <c r="F304" s="4" t="inlineStr">
        <is>
          <t>♥K</t>
        </is>
      </c>
      <c r="G304" s="4" t="inlineStr">
        <is>
          <t>♥10</t>
        </is>
      </c>
      <c r="H304" s="4" t="inlineStr">
        <is>
          <t>小王</t>
        </is>
      </c>
      <c r="I304" s="4" t="inlineStr">
        <is>
          <t>玩4</t>
        </is>
      </c>
      <c r="J304" s="4" t="n">
        <v>25</v>
      </c>
      <c r="K304" s="4" t="inlineStr">
        <is>
          <t>抓分方</t>
        </is>
      </c>
    </row>
    <row r="305">
      <c r="A305" s="4" t="n">
        <v>33</v>
      </c>
      <c r="B305" s="4" t="n">
        <v>8</v>
      </c>
      <c r="C305" s="4" t="inlineStr">
        <is>
          <t>单张</t>
        </is>
      </c>
      <c r="D305" s="4" t="inlineStr">
        <is>
          <t>玩4</t>
        </is>
      </c>
      <c r="E305" s="4" t="inlineStr">
        <is>
          <t>♠K</t>
        </is>
      </c>
      <c r="F305" s="4" t="inlineStr">
        <is>
          <t>♦8</t>
        </is>
      </c>
      <c r="G305" s="4" t="inlineStr">
        <is>
          <t>♠10</t>
        </is>
      </c>
      <c r="H305" s="4" t="inlineStr">
        <is>
          <t>大王</t>
        </is>
      </c>
      <c r="I305" s="4" t="inlineStr">
        <is>
          <t>玩4</t>
        </is>
      </c>
      <c r="J305" s="4" t="n">
        <v>20</v>
      </c>
      <c r="K305" s="4" t="inlineStr">
        <is>
          <t>抓分方</t>
        </is>
      </c>
    </row>
    <row r="306">
      <c r="A306" s="4" t="n">
        <v>33</v>
      </c>
      <c r="B306" s="4" t="n">
        <v>9</v>
      </c>
      <c r="C306" s="4" t="inlineStr">
        <is>
          <t>单张</t>
        </is>
      </c>
      <c r="D306" s="4" t="inlineStr">
        <is>
          <t>玩4</t>
        </is>
      </c>
      <c r="E306" s="4" t="inlineStr">
        <is>
          <t>♣K</t>
        </is>
      </c>
      <c r="F306" s="4" t="inlineStr">
        <is>
          <t>♣Q</t>
        </is>
      </c>
      <c r="G306" s="4" t="inlineStr">
        <is>
          <t>♠J</t>
        </is>
      </c>
      <c r="H306" s="4" t="inlineStr">
        <is>
          <t>♦K</t>
        </is>
      </c>
      <c r="I306" s="4" t="inlineStr">
        <is>
          <t>玩4</t>
        </is>
      </c>
      <c r="J306" s="4" t="n">
        <v>20</v>
      </c>
      <c r="K306" s="4" t="inlineStr">
        <is>
          <t>抓分方</t>
        </is>
      </c>
    </row>
    <row r="307">
      <c r="A307" s="4" t="n">
        <v>33</v>
      </c>
      <c r="B307" s="4" t="n">
        <v>10</v>
      </c>
      <c r="C307" s="4" t="inlineStr">
        <is>
          <t>单张</t>
        </is>
      </c>
      <c r="D307" s="4" t="inlineStr">
        <is>
          <t>玩4</t>
        </is>
      </c>
      <c r="E307" s="4" t="inlineStr">
        <is>
          <t>无</t>
        </is>
      </c>
      <c r="F307" s="4" t="inlineStr">
        <is>
          <t>♥A</t>
        </is>
      </c>
      <c r="G307" s="4" t="inlineStr">
        <is>
          <t>无</t>
        </is>
      </c>
      <c r="H307" s="4" t="inlineStr">
        <is>
          <t>无</t>
        </is>
      </c>
      <c r="I307" s="4" t="inlineStr">
        <is>
          <t>玩2</t>
        </is>
      </c>
      <c r="J307" s="4" t="n">
        <v>0</v>
      </c>
      <c r="K307" s="4" t="inlineStr">
        <is>
          <t>抓分方</t>
        </is>
      </c>
    </row>
    <row r="308">
      <c r="A308" s="4" t="n">
        <v>34</v>
      </c>
      <c r="B308" s="4" t="n">
        <v>1</v>
      </c>
      <c r="C308" s="4" t="inlineStr">
        <is>
          <t>对子</t>
        </is>
      </c>
      <c r="D308" s="4" t="inlineStr">
        <is>
          <t>玩2</t>
        </is>
      </c>
      <c r="E308" s="4" t="inlineStr">
        <is>
          <t>♠4 ♠9</t>
        </is>
      </c>
      <c r="F308" s="4" t="inlineStr">
        <is>
          <t>♠Q ♦Q</t>
        </is>
      </c>
      <c r="G308" s="4" t="inlineStr">
        <is>
          <t>♠3 ♠5</t>
        </is>
      </c>
      <c r="H308" s="4" t="inlineStr">
        <is>
          <t>♠2 ♠K</t>
        </is>
      </c>
      <c r="I308" s="4" t="inlineStr">
        <is>
          <t>玩4</t>
        </is>
      </c>
      <c r="J308" s="4" t="n">
        <v>15</v>
      </c>
      <c r="K308" s="4" t="inlineStr">
        <is>
          <t>庄家方</t>
        </is>
      </c>
    </row>
    <row r="309">
      <c r="A309" s="4" t="n">
        <v>34</v>
      </c>
      <c r="B309" s="4" t="n">
        <v>2</v>
      </c>
      <c r="C309" s="4" t="inlineStr">
        <is>
          <t>对子</t>
        </is>
      </c>
      <c r="D309" s="4" t="inlineStr">
        <is>
          <t>玩4</t>
        </is>
      </c>
      <c r="E309" s="4" t="inlineStr">
        <is>
          <t>♣4 ♦4</t>
        </is>
      </c>
      <c r="F309" s="4" t="inlineStr">
        <is>
          <t>♣5 ♦5</t>
        </is>
      </c>
      <c r="G309" s="4" t="inlineStr">
        <is>
          <t>♠6 ♠10</t>
        </is>
      </c>
      <c r="H309" s="4" t="inlineStr">
        <is>
          <t>♠A ♣A</t>
        </is>
      </c>
      <c r="I309" s="4" t="inlineStr">
        <is>
          <t>玩4</t>
        </is>
      </c>
      <c r="J309" s="4" t="n">
        <v>20</v>
      </c>
      <c r="K309" s="4" t="inlineStr">
        <is>
          <t>庄家方</t>
        </is>
      </c>
    </row>
    <row r="310">
      <c r="A310" s="4" t="n">
        <v>34</v>
      </c>
      <c r="B310" s="4" t="n">
        <v>3</v>
      </c>
      <c r="C310" s="4" t="inlineStr">
        <is>
          <t>单张</t>
        </is>
      </c>
      <c r="D310" s="4" t="inlineStr">
        <is>
          <t>玩4</t>
        </is>
      </c>
      <c r="E310" s="4" t="inlineStr">
        <is>
          <t>♣J</t>
        </is>
      </c>
      <c r="F310" s="4" t="inlineStr">
        <is>
          <t>♣2</t>
        </is>
      </c>
      <c r="G310" s="4" t="inlineStr">
        <is>
          <t>♣7</t>
        </is>
      </c>
      <c r="H310" s="4" t="inlineStr">
        <is>
          <t>♣3</t>
        </is>
      </c>
      <c r="I310" s="4" t="inlineStr">
        <is>
          <t>玩2</t>
        </is>
      </c>
      <c r="J310" s="4" t="n">
        <v>0</v>
      </c>
      <c r="K310" s="4" t="inlineStr">
        <is>
          <t>庄家方</t>
        </is>
      </c>
    </row>
    <row r="311">
      <c r="A311" s="4" t="n">
        <v>34</v>
      </c>
      <c r="B311" s="4" t="n">
        <v>4</v>
      </c>
      <c r="C311" s="4" t="inlineStr">
        <is>
          <t>单张</t>
        </is>
      </c>
      <c r="D311" s="4" t="inlineStr">
        <is>
          <t>玩2</t>
        </is>
      </c>
      <c r="E311" s="4" t="inlineStr">
        <is>
          <t>♦2</t>
        </is>
      </c>
      <c r="F311" s="4" t="inlineStr">
        <is>
          <t>♦7</t>
        </is>
      </c>
      <c r="G311" s="4" t="inlineStr">
        <is>
          <t>♦A</t>
        </is>
      </c>
      <c r="H311" s="4" t="inlineStr">
        <is>
          <t>♦K</t>
        </is>
      </c>
      <c r="I311" s="4" t="inlineStr">
        <is>
          <t>玩1</t>
        </is>
      </c>
      <c r="J311" s="4" t="n">
        <v>10</v>
      </c>
      <c r="K311" s="4" t="inlineStr">
        <is>
          <t>抓分方</t>
        </is>
      </c>
    </row>
    <row r="312">
      <c r="A312" s="4" t="n">
        <v>34</v>
      </c>
      <c r="B312" s="4" t="n">
        <v>5</v>
      </c>
      <c r="C312" s="4" t="inlineStr">
        <is>
          <t>对子</t>
        </is>
      </c>
      <c r="D312" s="4" t="inlineStr">
        <is>
          <t>玩1</t>
        </is>
      </c>
      <c r="E312" s="4" t="inlineStr">
        <is>
          <t>♦J ♠J</t>
        </is>
      </c>
      <c r="F312" s="4" t="inlineStr">
        <is>
          <t>♣9 ♥J</t>
        </is>
      </c>
      <c r="G312" s="4" t="inlineStr">
        <is>
          <t>♥8 ♣8</t>
        </is>
      </c>
      <c r="H312" s="4" t="inlineStr">
        <is>
          <t>♥4 ♥5</t>
        </is>
      </c>
      <c r="I312" s="4" t="inlineStr">
        <is>
          <t>玩1</t>
        </is>
      </c>
      <c r="J312" s="4" t="n">
        <v>5</v>
      </c>
      <c r="K312" s="4" t="inlineStr">
        <is>
          <t>抓分方</t>
        </is>
      </c>
    </row>
    <row r="313">
      <c r="A313" s="4" t="n">
        <v>34</v>
      </c>
      <c r="B313" s="4" t="n">
        <v>6</v>
      </c>
      <c r="C313" s="4" t="inlineStr">
        <is>
          <t>单张</t>
        </is>
      </c>
      <c r="D313" s="4" t="inlineStr">
        <is>
          <t>玩1</t>
        </is>
      </c>
      <c r="E313" s="4" t="inlineStr">
        <is>
          <t>♦8</t>
        </is>
      </c>
      <c r="F313" s="4" t="inlineStr">
        <is>
          <t>♥A</t>
        </is>
      </c>
      <c r="G313" s="4" t="inlineStr">
        <is>
          <t>♦10</t>
        </is>
      </c>
      <c r="H313" s="4" t="inlineStr">
        <is>
          <t>♣6</t>
        </is>
      </c>
      <c r="I313" s="4" t="inlineStr">
        <is>
          <t>玩3</t>
        </is>
      </c>
      <c r="J313" s="4" t="n">
        <v>10</v>
      </c>
      <c r="K313" s="4" t="inlineStr">
        <is>
          <t>抓分方</t>
        </is>
      </c>
    </row>
    <row r="314">
      <c r="A314" s="4" t="n">
        <v>34</v>
      </c>
      <c r="B314" s="4" t="n">
        <v>7</v>
      </c>
      <c r="C314" s="4" t="inlineStr">
        <is>
          <t>对子</t>
        </is>
      </c>
      <c r="D314" s="4" t="inlineStr">
        <is>
          <t>玩3</t>
        </is>
      </c>
      <c r="E314" s="4" t="inlineStr">
        <is>
          <t>♦9 ♣10</t>
        </is>
      </c>
      <c r="F314" s="4" t="inlineStr">
        <is>
          <t>♥2 小王</t>
        </is>
      </c>
      <c r="G314" s="4" t="inlineStr">
        <is>
          <t>♥Q ♣Q</t>
        </is>
      </c>
      <c r="H314" s="4" t="inlineStr">
        <is>
          <t>♥7 ♥10</t>
        </is>
      </c>
      <c r="I314" s="4" t="inlineStr">
        <is>
          <t>玩2</t>
        </is>
      </c>
      <c r="J314" s="4" t="n">
        <v>20</v>
      </c>
      <c r="K314" s="4" t="inlineStr">
        <is>
          <t>庄家方</t>
        </is>
      </c>
    </row>
    <row r="315">
      <c r="A315" s="4" t="n">
        <v>34</v>
      </c>
      <c r="B315" s="4" t="n">
        <v>8</v>
      </c>
      <c r="C315" s="4" t="inlineStr">
        <is>
          <t>单张</t>
        </is>
      </c>
      <c r="D315" s="4" t="inlineStr">
        <is>
          <t>玩2</t>
        </is>
      </c>
      <c r="E315" s="4" t="inlineStr">
        <is>
          <t>♣K</t>
        </is>
      </c>
      <c r="F315" s="4" t="inlineStr">
        <is>
          <t>大王</t>
        </is>
      </c>
      <c r="G315" s="4" t="inlineStr">
        <is>
          <t>♥3</t>
        </is>
      </c>
      <c r="H315" s="4" t="inlineStr">
        <is>
          <t>♥K</t>
        </is>
      </c>
      <c r="I315" s="4" t="inlineStr">
        <is>
          <t>玩3</t>
        </is>
      </c>
      <c r="J315" s="4" t="n">
        <v>20</v>
      </c>
      <c r="K315" s="4" t="inlineStr">
        <is>
          <t>抓分方</t>
        </is>
      </c>
    </row>
    <row r="316">
      <c r="A316" s="4" t="n">
        <v>35</v>
      </c>
      <c r="B316" s="4" t="n">
        <v>1</v>
      </c>
      <c r="C316" s="4" t="inlineStr">
        <is>
          <t>对子</t>
        </is>
      </c>
      <c r="D316" s="4" t="inlineStr">
        <is>
          <t>玩3</t>
        </is>
      </c>
      <c r="E316" s="4" t="inlineStr">
        <is>
          <t>♦6 ♦10</t>
        </is>
      </c>
      <c r="F316" s="4" t="inlineStr">
        <is>
          <t>♦2 ♦4</t>
        </is>
      </c>
      <c r="G316" s="4" t="inlineStr">
        <is>
          <t>♦9 ♥9</t>
        </is>
      </c>
      <c r="H316" s="4" t="inlineStr">
        <is>
          <t>♦J ♦A</t>
        </is>
      </c>
      <c r="I316" s="4" t="inlineStr">
        <is>
          <t>玩2</t>
        </is>
      </c>
      <c r="J316" s="4" t="n">
        <v>10</v>
      </c>
      <c r="K316" s="4" t="inlineStr">
        <is>
          <t>抓分方</t>
        </is>
      </c>
    </row>
    <row r="317">
      <c r="A317" s="4" t="n">
        <v>35</v>
      </c>
      <c r="B317" s="4" t="n">
        <v>2</v>
      </c>
      <c r="C317" s="4" t="inlineStr">
        <is>
          <t>对子</t>
        </is>
      </c>
      <c r="D317" s="4" t="inlineStr">
        <is>
          <t>玩2</t>
        </is>
      </c>
      <c r="E317" s="4" t="inlineStr">
        <is>
          <t>♣4 ♣7</t>
        </is>
      </c>
      <c r="F317" s="4" t="inlineStr">
        <is>
          <t>♣3 ♥3</t>
        </is>
      </c>
      <c r="G317" s="4" t="inlineStr">
        <is>
          <t>♣5 ♣8</t>
        </is>
      </c>
      <c r="H317" s="4" t="inlineStr">
        <is>
          <t>♣2 ♣6</t>
        </is>
      </c>
      <c r="I317" s="4" t="inlineStr">
        <is>
          <t>玩2</t>
        </is>
      </c>
      <c r="J317" s="4" t="n">
        <v>5</v>
      </c>
      <c r="K317" s="4" t="inlineStr">
        <is>
          <t>抓分方</t>
        </is>
      </c>
    </row>
    <row r="318">
      <c r="A318" s="4" t="n">
        <v>35</v>
      </c>
      <c r="B318" s="4" t="n">
        <v>3</v>
      </c>
      <c r="C318" s="4" t="inlineStr">
        <is>
          <t>对子</t>
        </is>
      </c>
      <c r="D318" s="4" t="inlineStr">
        <is>
          <t>玩2</t>
        </is>
      </c>
      <c r="E318" s="4" t="inlineStr">
        <is>
          <t>♥J ♥K</t>
        </is>
      </c>
      <c r="F318" s="4" t="inlineStr">
        <is>
          <t>♥8 ♦8</t>
        </is>
      </c>
      <c r="G318" s="4" t="inlineStr">
        <is>
          <t>♥2 ♥10</t>
        </is>
      </c>
      <c r="H318" s="4" t="inlineStr">
        <is>
          <t>♥5 ♥6</t>
        </is>
      </c>
      <c r="I318" s="4" t="inlineStr">
        <is>
          <t>玩3</t>
        </is>
      </c>
      <c r="J318" s="4" t="n">
        <v>25</v>
      </c>
      <c r="K318" s="4" t="inlineStr">
        <is>
          <t>庄家方</t>
        </is>
      </c>
    </row>
    <row r="319">
      <c r="A319" s="4" t="n">
        <v>35</v>
      </c>
      <c r="B319" s="4" t="n">
        <v>4</v>
      </c>
      <c r="C319" s="4" t="inlineStr">
        <is>
          <t>对子</t>
        </is>
      </c>
      <c r="D319" s="4" t="inlineStr">
        <is>
          <t>玩3</t>
        </is>
      </c>
      <c r="E319" s="4" t="inlineStr">
        <is>
          <t>♠3 ♠5</t>
        </is>
      </c>
      <c r="F319" s="4" t="inlineStr">
        <is>
          <t>♦5 ♦K</t>
        </is>
      </c>
      <c r="G319" s="4" t="inlineStr">
        <is>
          <t>♦Q ♣Q</t>
        </is>
      </c>
      <c r="H319" s="4" t="inlineStr">
        <is>
          <t>♥7 ♣10</t>
        </is>
      </c>
      <c r="I319" s="4" t="inlineStr">
        <is>
          <t>玩2</t>
        </is>
      </c>
      <c r="J319" s="4" t="n">
        <v>30</v>
      </c>
      <c r="K319" s="4" t="inlineStr">
        <is>
          <t>抓分方</t>
        </is>
      </c>
    </row>
    <row r="320">
      <c r="A320" s="4" t="n">
        <v>35</v>
      </c>
      <c r="B320" s="4" t="n">
        <v>5</v>
      </c>
      <c r="C320" s="4" t="inlineStr">
        <is>
          <t>单张</t>
        </is>
      </c>
      <c r="D320" s="4" t="inlineStr">
        <is>
          <t>玩2</t>
        </is>
      </c>
      <c r="E320" s="4" t="inlineStr">
        <is>
          <t>♠8</t>
        </is>
      </c>
      <c r="F320" s="4" t="inlineStr">
        <is>
          <t>♠6</t>
        </is>
      </c>
      <c r="G320" s="4" t="inlineStr">
        <is>
          <t>♠2</t>
        </is>
      </c>
      <c r="H320" s="4" t="inlineStr">
        <is>
          <t>♠A</t>
        </is>
      </c>
      <c r="I320" s="4" t="inlineStr">
        <is>
          <t>玩3</t>
        </is>
      </c>
      <c r="J320" s="4" t="n">
        <v>0</v>
      </c>
      <c r="K320" s="4" t="inlineStr">
        <is>
          <t>庄家方</t>
        </is>
      </c>
    </row>
    <row r="321">
      <c r="A321" s="4" t="n">
        <v>35</v>
      </c>
      <c r="B321" s="4" t="n">
        <v>6</v>
      </c>
      <c r="C321" s="4" t="inlineStr">
        <is>
          <t>单张</t>
        </is>
      </c>
      <c r="D321" s="4" t="inlineStr">
        <is>
          <t>玩3</t>
        </is>
      </c>
      <c r="E321" s="4" t="inlineStr">
        <is>
          <t>♠9</t>
        </is>
      </c>
      <c r="F321" s="4" t="inlineStr">
        <is>
          <t>♣9</t>
        </is>
      </c>
      <c r="G321" s="4" t="inlineStr">
        <is>
          <t>小王</t>
        </is>
      </c>
      <c r="H321" s="4" t="inlineStr">
        <is>
          <t>大王</t>
        </is>
      </c>
      <c r="I321" s="4" t="inlineStr">
        <is>
          <t>玩4</t>
        </is>
      </c>
      <c r="J321" s="4" t="n">
        <v>0</v>
      </c>
      <c r="K321" s="4" t="inlineStr">
        <is>
          <t>抓分方</t>
        </is>
      </c>
    </row>
    <row r="322">
      <c r="A322" s="4" t="n">
        <v>35</v>
      </c>
      <c r="B322" s="4" t="n">
        <v>7</v>
      </c>
      <c r="C322" s="4" t="inlineStr">
        <is>
          <t>单张</t>
        </is>
      </c>
      <c r="D322" s="4" t="inlineStr">
        <is>
          <t>玩4</t>
        </is>
      </c>
      <c r="E322" s="4" t="inlineStr">
        <is>
          <t>♠J</t>
        </is>
      </c>
      <c r="F322" s="4" t="inlineStr">
        <is>
          <t>♥A</t>
        </is>
      </c>
      <c r="G322" s="4" t="inlineStr">
        <is>
          <t>♠K</t>
        </is>
      </c>
      <c r="H322" s="4" t="inlineStr">
        <is>
          <t>♥Q</t>
        </is>
      </c>
      <c r="I322" s="4" t="inlineStr">
        <is>
          <t>玩2</t>
        </is>
      </c>
      <c r="J322" s="4" t="n">
        <v>10</v>
      </c>
      <c r="K322" s="4" t="inlineStr">
        <is>
          <t>抓分方</t>
        </is>
      </c>
    </row>
    <row r="323">
      <c r="A323" s="4" t="n">
        <v>35</v>
      </c>
      <c r="B323" s="4" t="n">
        <v>8</v>
      </c>
      <c r="C323" s="4" t="inlineStr">
        <is>
          <t>单张</t>
        </is>
      </c>
      <c r="D323" s="4" t="inlineStr">
        <is>
          <t>玩2</t>
        </is>
      </c>
      <c r="E323" s="4" t="inlineStr">
        <is>
          <t>♣J</t>
        </is>
      </c>
      <c r="F323" s="4" t="inlineStr">
        <is>
          <t>♠Q</t>
        </is>
      </c>
      <c r="G323" s="4" t="inlineStr">
        <is>
          <t>♣K</t>
        </is>
      </c>
      <c r="H323" s="4" t="inlineStr">
        <is>
          <t>♣A</t>
        </is>
      </c>
      <c r="I323" s="4" t="inlineStr">
        <is>
          <t>玩2</t>
        </is>
      </c>
      <c r="J323" s="4" t="n">
        <v>10</v>
      </c>
      <c r="K323" s="4" t="inlineStr">
        <is>
          <t>抓分方</t>
        </is>
      </c>
    </row>
    <row r="324">
      <c r="A324" s="4" t="n">
        <v>36</v>
      </c>
      <c r="B324" s="4" t="n">
        <v>1</v>
      </c>
      <c r="C324" s="4" t="inlineStr">
        <is>
          <t>对子</t>
        </is>
      </c>
      <c r="D324" s="4" t="inlineStr">
        <is>
          <t>玩4</t>
        </is>
      </c>
      <c r="E324" s="4" t="inlineStr">
        <is>
          <t>♥3 ♥4</t>
        </is>
      </c>
      <c r="F324" s="4" t="inlineStr">
        <is>
          <t>♥7 ♥Q</t>
        </is>
      </c>
      <c r="G324" s="4" t="inlineStr">
        <is>
          <t>♦3 ♠4</t>
        </is>
      </c>
      <c r="H324" s="4" t="inlineStr">
        <is>
          <t>♥2 ♠2</t>
        </is>
      </c>
      <c r="I324" s="4" t="inlineStr">
        <is>
          <t>玩4</t>
        </is>
      </c>
      <c r="J324" s="4" t="n">
        <v>0</v>
      </c>
      <c r="K324" s="4" t="inlineStr">
        <is>
          <t>庄家方</t>
        </is>
      </c>
    </row>
    <row r="325">
      <c r="A325" s="4" t="n">
        <v>36</v>
      </c>
      <c r="B325" s="4" t="n">
        <v>2</v>
      </c>
      <c r="C325" s="4" t="inlineStr">
        <is>
          <t>单张</t>
        </is>
      </c>
      <c r="D325" s="4" t="inlineStr">
        <is>
          <t>玩4</t>
        </is>
      </c>
      <c r="E325" s="4" t="inlineStr">
        <is>
          <t>♠Q</t>
        </is>
      </c>
      <c r="F325" s="4" t="inlineStr">
        <is>
          <t>♠3</t>
        </is>
      </c>
      <c r="G325" s="4" t="inlineStr">
        <is>
          <t>♦7</t>
        </is>
      </c>
      <c r="H325" s="4" t="inlineStr">
        <is>
          <t>♠6</t>
        </is>
      </c>
      <c r="I325" s="4" t="inlineStr">
        <is>
          <t>玩1</t>
        </is>
      </c>
      <c r="J325" s="4" t="n">
        <v>0</v>
      </c>
      <c r="K325" s="4" t="inlineStr">
        <is>
          <t>抓分方</t>
        </is>
      </c>
    </row>
    <row r="326">
      <c r="A326" s="4" t="n">
        <v>36</v>
      </c>
      <c r="B326" s="4" t="n">
        <v>3</v>
      </c>
      <c r="C326" s="4" t="inlineStr">
        <is>
          <t>单张</t>
        </is>
      </c>
      <c r="D326" s="4" t="inlineStr">
        <is>
          <t>玩1</t>
        </is>
      </c>
      <c r="E326" s="4" t="inlineStr">
        <is>
          <t>♣3</t>
        </is>
      </c>
      <c r="F326" s="4" t="inlineStr">
        <is>
          <t>♦4</t>
        </is>
      </c>
      <c r="G326" s="4" t="inlineStr">
        <is>
          <t>♣7</t>
        </is>
      </c>
      <c r="H326" s="4" t="inlineStr">
        <is>
          <t>♣A</t>
        </is>
      </c>
      <c r="I326" s="4" t="inlineStr">
        <is>
          <t>玩4</t>
        </is>
      </c>
      <c r="J326" s="4" t="n">
        <v>0</v>
      </c>
      <c r="K326" s="4" t="inlineStr">
        <is>
          <t>庄家方</t>
        </is>
      </c>
    </row>
    <row r="327">
      <c r="A327" s="4" t="n">
        <v>36</v>
      </c>
      <c r="B327" s="4" t="n">
        <v>4</v>
      </c>
      <c r="C327" s="4" t="inlineStr">
        <is>
          <t>单张</t>
        </is>
      </c>
      <c r="D327" s="4" t="inlineStr">
        <is>
          <t>玩4</t>
        </is>
      </c>
      <c r="E327" s="4" t="inlineStr">
        <is>
          <t>♥6</t>
        </is>
      </c>
      <c r="F327" s="4" t="inlineStr">
        <is>
          <t>♥A</t>
        </is>
      </c>
      <c r="G327" s="4" t="inlineStr">
        <is>
          <t>♦8</t>
        </is>
      </c>
      <c r="H327" s="4" t="inlineStr">
        <is>
          <t>♥9</t>
        </is>
      </c>
      <c r="I327" s="4" t="inlineStr">
        <is>
          <t>玩2</t>
        </is>
      </c>
      <c r="J327" s="4" t="n">
        <v>0</v>
      </c>
      <c r="K327" s="4" t="inlineStr">
        <is>
          <t>庄家方</t>
        </is>
      </c>
    </row>
    <row r="328">
      <c r="A328" s="4" t="n">
        <v>36</v>
      </c>
      <c r="B328" s="4" t="n">
        <v>5</v>
      </c>
      <c r="C328" s="4" t="inlineStr">
        <is>
          <t>单张</t>
        </is>
      </c>
      <c r="D328" s="4" t="inlineStr">
        <is>
          <t>玩2</t>
        </is>
      </c>
      <c r="E328" s="4" t="inlineStr">
        <is>
          <t>♠A</t>
        </is>
      </c>
      <c r="F328" s="4" t="inlineStr">
        <is>
          <t>♠7</t>
        </is>
      </c>
      <c r="G328" s="4" t="inlineStr">
        <is>
          <t>♣8</t>
        </is>
      </c>
      <c r="H328" s="4" t="inlineStr">
        <is>
          <t>♠J</t>
        </is>
      </c>
      <c r="I328" s="4" t="inlineStr">
        <is>
          <t>玩1</t>
        </is>
      </c>
      <c r="J328" s="4" t="n">
        <v>0</v>
      </c>
      <c r="K328" s="4" t="inlineStr">
        <is>
          <t>抓分方</t>
        </is>
      </c>
    </row>
    <row r="329">
      <c r="A329" s="4" t="n">
        <v>36</v>
      </c>
      <c r="B329" s="4" t="n">
        <v>6</v>
      </c>
      <c r="C329" s="4" t="inlineStr">
        <is>
          <t>单张</t>
        </is>
      </c>
      <c r="D329" s="4" t="inlineStr">
        <is>
          <t>玩1</t>
        </is>
      </c>
      <c r="E329" s="4" t="inlineStr">
        <is>
          <t>♣4</t>
        </is>
      </c>
      <c r="F329" s="4" t="inlineStr">
        <is>
          <t>♦5</t>
        </is>
      </c>
      <c r="G329" s="4" t="inlineStr">
        <is>
          <t>♣9</t>
        </is>
      </c>
      <c r="H329" s="4" t="inlineStr">
        <is>
          <t>♣5</t>
        </is>
      </c>
      <c r="I329" s="4" t="inlineStr">
        <is>
          <t>玩3</t>
        </is>
      </c>
      <c r="J329" s="4" t="n">
        <v>10</v>
      </c>
      <c r="K329" s="4" t="inlineStr">
        <is>
          <t>抓分方</t>
        </is>
      </c>
    </row>
    <row r="330">
      <c r="A330" s="4" t="n">
        <v>36</v>
      </c>
      <c r="B330" s="4" t="n">
        <v>7</v>
      </c>
      <c r="C330" s="4" t="inlineStr">
        <is>
          <t>单张</t>
        </is>
      </c>
      <c r="D330" s="4" t="inlineStr">
        <is>
          <t>玩3</t>
        </is>
      </c>
      <c r="E330" s="4" t="inlineStr">
        <is>
          <t>♠5</t>
        </is>
      </c>
      <c r="F330" s="4" t="inlineStr">
        <is>
          <t>♠10</t>
        </is>
      </c>
      <c r="G330" s="4" t="inlineStr">
        <is>
          <t>♣J</t>
        </is>
      </c>
      <c r="H330" s="4" t="inlineStr">
        <is>
          <t>♥5</t>
        </is>
      </c>
      <c r="I330" s="4" t="inlineStr">
        <is>
          <t>玩3</t>
        </is>
      </c>
      <c r="J330" s="4" t="n">
        <v>20</v>
      </c>
      <c r="K330" s="4" t="inlineStr">
        <is>
          <t>抓分方</t>
        </is>
      </c>
    </row>
    <row r="331">
      <c r="A331" s="4" t="n">
        <v>36</v>
      </c>
      <c r="B331" s="4" t="n">
        <v>8</v>
      </c>
      <c r="C331" s="4" t="inlineStr">
        <is>
          <t>单张</t>
        </is>
      </c>
      <c r="D331" s="4" t="inlineStr">
        <is>
          <t>玩3</t>
        </is>
      </c>
      <c r="E331" s="4" t="inlineStr">
        <is>
          <t>♦9</t>
        </is>
      </c>
      <c r="F331" s="4" t="inlineStr">
        <is>
          <t>♦J</t>
        </is>
      </c>
      <c r="G331" s="4" t="inlineStr">
        <is>
          <t>♣Q</t>
        </is>
      </c>
      <c r="H331" s="4" t="inlineStr">
        <is>
          <t>♦10</t>
        </is>
      </c>
      <c r="I331" s="4" t="inlineStr">
        <is>
          <t>玩3</t>
        </is>
      </c>
      <c r="J331" s="4" t="n">
        <v>10</v>
      </c>
      <c r="K331" s="4" t="inlineStr">
        <is>
          <t>抓分方</t>
        </is>
      </c>
    </row>
    <row r="332">
      <c r="A332" s="4" t="n">
        <v>36</v>
      </c>
      <c r="B332" s="4" t="n">
        <v>9</v>
      </c>
      <c r="C332" s="4" t="inlineStr">
        <is>
          <t>单张</t>
        </is>
      </c>
      <c r="D332" s="4" t="inlineStr">
        <is>
          <t>玩3</t>
        </is>
      </c>
      <c r="E332" s="4" t="inlineStr">
        <is>
          <t>♦K</t>
        </is>
      </c>
      <c r="F332" s="4" t="inlineStr">
        <is>
          <t>♦A</t>
        </is>
      </c>
      <c r="G332" s="4" t="inlineStr">
        <is>
          <t>♦2</t>
        </is>
      </c>
      <c r="H332" s="4" t="inlineStr">
        <is>
          <t>♦Q</t>
        </is>
      </c>
      <c r="I332" s="4" t="inlineStr">
        <is>
          <t>玩3</t>
        </is>
      </c>
      <c r="J332" s="4" t="n">
        <v>10</v>
      </c>
      <c r="K332" s="4" t="inlineStr">
        <is>
          <t>抓分方</t>
        </is>
      </c>
    </row>
    <row r="333">
      <c r="A333" s="4" t="n">
        <v>36</v>
      </c>
      <c r="B333" s="4" t="n">
        <v>10</v>
      </c>
      <c r="C333" s="4" t="inlineStr">
        <is>
          <t>单张</t>
        </is>
      </c>
      <c r="D333" s="4" t="inlineStr">
        <is>
          <t>玩3</t>
        </is>
      </c>
      <c r="E333" s="4" t="inlineStr">
        <is>
          <t>♥10</t>
        </is>
      </c>
      <c r="F333" s="4" t="inlineStr">
        <is>
          <t>♥K</t>
        </is>
      </c>
      <c r="G333" s="4" t="inlineStr">
        <is>
          <t>♣10</t>
        </is>
      </c>
      <c r="H333" s="4" t="inlineStr">
        <is>
          <t>小王</t>
        </is>
      </c>
      <c r="I333" s="4" t="inlineStr">
        <is>
          <t>玩4</t>
        </is>
      </c>
      <c r="J333" s="4" t="n">
        <v>30</v>
      </c>
      <c r="K333" s="4" t="inlineStr">
        <is>
          <t>庄家方</t>
        </is>
      </c>
    </row>
    <row r="334">
      <c r="A334" s="4" t="n">
        <v>36</v>
      </c>
      <c r="B334" s="4" t="n">
        <v>11</v>
      </c>
      <c r="C334" s="4" t="inlineStr">
        <is>
          <t>单张</t>
        </is>
      </c>
      <c r="D334" s="4" t="inlineStr">
        <is>
          <t>玩4</t>
        </is>
      </c>
      <c r="E334" s="4" t="inlineStr">
        <is>
          <t>♥J</t>
        </is>
      </c>
      <c r="F334" s="4" t="inlineStr">
        <is>
          <t>♠K</t>
        </is>
      </c>
      <c r="G334" s="4" t="inlineStr">
        <is>
          <t>♣K</t>
        </is>
      </c>
      <c r="H334" s="4" t="inlineStr">
        <is>
          <t>大王</t>
        </is>
      </c>
      <c r="I334" s="4" t="inlineStr">
        <is>
          <t>玩4</t>
        </is>
      </c>
      <c r="J334" s="4" t="n">
        <v>20</v>
      </c>
      <c r="K334" s="4" t="inlineStr">
        <is>
          <t>庄家方</t>
        </is>
      </c>
    </row>
    <row r="335">
      <c r="A335" s="4" t="n">
        <v>37</v>
      </c>
      <c r="B335" s="4" t="n">
        <v>1</v>
      </c>
      <c r="C335" s="4" t="inlineStr">
        <is>
          <t>对子</t>
        </is>
      </c>
      <c r="D335" s="4" t="inlineStr">
        <is>
          <t>玩1</t>
        </is>
      </c>
      <c r="E335" s="4" t="inlineStr">
        <is>
          <t>♣6 ♠6</t>
        </is>
      </c>
      <c r="F335" s="4" t="inlineStr">
        <is>
          <t>♦3 ♠4</t>
        </is>
      </c>
      <c r="G335" s="4" t="inlineStr">
        <is>
          <t>♣5 ♣8</t>
        </is>
      </c>
      <c r="H335" s="4" t="inlineStr">
        <is>
          <t>♣3 ♣7</t>
        </is>
      </c>
      <c r="I335" s="4" t="inlineStr">
        <is>
          <t>玩3</t>
        </is>
      </c>
      <c r="J335" s="4" t="n">
        <v>5</v>
      </c>
      <c r="K335" s="4" t="inlineStr">
        <is>
          <t>庄家方</t>
        </is>
      </c>
    </row>
    <row r="336">
      <c r="A336" s="4" t="n">
        <v>37</v>
      </c>
      <c r="B336" s="4" t="n">
        <v>2</v>
      </c>
      <c r="C336" s="4" t="inlineStr">
        <is>
          <t>对子</t>
        </is>
      </c>
      <c r="D336" s="4" t="inlineStr">
        <is>
          <t>玩3</t>
        </is>
      </c>
      <c r="E336" s="4" t="inlineStr">
        <is>
          <t>♣10 ♣J</t>
        </is>
      </c>
      <c r="F336" s="4" t="inlineStr">
        <is>
          <t>♣2 ♦2</t>
        </is>
      </c>
      <c r="G336" s="4" t="inlineStr">
        <is>
          <t>♣9 ♠9</t>
        </is>
      </c>
      <c r="H336" s="4" t="inlineStr">
        <is>
          <t>♣Q ♣A</t>
        </is>
      </c>
      <c r="I336" s="4" t="inlineStr">
        <is>
          <t>玩2</t>
        </is>
      </c>
      <c r="J336" s="4" t="n">
        <v>10</v>
      </c>
      <c r="K336" s="4" t="inlineStr">
        <is>
          <t>抓分方</t>
        </is>
      </c>
    </row>
    <row r="337">
      <c r="A337" s="4" t="n">
        <v>37</v>
      </c>
      <c r="B337" s="4" t="n">
        <v>3</v>
      </c>
      <c r="C337" s="4" t="inlineStr">
        <is>
          <t>对子</t>
        </is>
      </c>
      <c r="D337" s="4" t="inlineStr">
        <is>
          <t>玩2</t>
        </is>
      </c>
      <c r="E337" s="4" t="inlineStr">
        <is>
          <t>♥3 大王</t>
        </is>
      </c>
      <c r="F337" s="4" t="inlineStr">
        <is>
          <t>♥7 ♦7</t>
        </is>
      </c>
      <c r="G337" s="4" t="inlineStr">
        <is>
          <t>♥5 ♥9</t>
        </is>
      </c>
      <c r="H337" s="4" t="inlineStr">
        <is>
          <t>♥6 ♥8</t>
        </is>
      </c>
      <c r="I337" s="4" t="inlineStr">
        <is>
          <t>玩1</t>
        </is>
      </c>
      <c r="J337" s="4" t="n">
        <v>5</v>
      </c>
      <c r="K337" s="4" t="inlineStr">
        <is>
          <t>庄家方</t>
        </is>
      </c>
    </row>
    <row r="338">
      <c r="A338" s="4" t="n">
        <v>37</v>
      </c>
      <c r="B338" s="4" t="n">
        <v>4</v>
      </c>
      <c r="C338" s="4" t="inlineStr">
        <is>
          <t>单张</t>
        </is>
      </c>
      <c r="D338" s="4" t="inlineStr">
        <is>
          <t>玩1</t>
        </is>
      </c>
      <c r="E338" s="4" t="inlineStr">
        <is>
          <t>♦9</t>
        </is>
      </c>
      <c r="F338" s="4" t="inlineStr">
        <is>
          <t>♦6</t>
        </is>
      </c>
      <c r="G338" s="4" t="inlineStr">
        <is>
          <t>♦J</t>
        </is>
      </c>
      <c r="H338" s="4" t="inlineStr">
        <is>
          <t>♦8</t>
        </is>
      </c>
      <c r="I338" s="4" t="inlineStr">
        <is>
          <t>玩3</t>
        </is>
      </c>
      <c r="J338" s="4" t="n">
        <v>0</v>
      </c>
      <c r="K338" s="4" t="inlineStr">
        <is>
          <t>庄家方</t>
        </is>
      </c>
    </row>
    <row r="339">
      <c r="A339" s="4" t="n">
        <v>37</v>
      </c>
      <c r="B339" s="4" t="n">
        <v>5</v>
      </c>
      <c r="C339" s="4" t="inlineStr">
        <is>
          <t>单张</t>
        </is>
      </c>
      <c r="D339" s="4" t="inlineStr">
        <is>
          <t>玩3</t>
        </is>
      </c>
      <c r="E339" s="4" t="inlineStr">
        <is>
          <t>♠Q</t>
        </is>
      </c>
      <c r="F339" s="4" t="inlineStr">
        <is>
          <t>♦10</t>
        </is>
      </c>
      <c r="G339" s="4" t="inlineStr">
        <is>
          <t>♠7</t>
        </is>
      </c>
      <c r="H339" s="4" t="inlineStr">
        <is>
          <t>♠J</t>
        </is>
      </c>
      <c r="I339" s="4" t="inlineStr">
        <is>
          <t>玩1</t>
        </is>
      </c>
      <c r="J339" s="4" t="n">
        <v>10</v>
      </c>
      <c r="K339" s="4" t="inlineStr">
        <is>
          <t>庄家方</t>
        </is>
      </c>
    </row>
    <row r="340">
      <c r="A340" s="4" t="n">
        <v>37</v>
      </c>
      <c r="B340" s="4" t="n">
        <v>6</v>
      </c>
      <c r="C340" s="4" t="inlineStr">
        <is>
          <t>单张</t>
        </is>
      </c>
      <c r="D340" s="4" t="inlineStr">
        <is>
          <t>玩1</t>
        </is>
      </c>
      <c r="E340" s="4" t="inlineStr">
        <is>
          <t>♦A</t>
        </is>
      </c>
      <c r="F340" s="4" t="inlineStr">
        <is>
          <t>♥J</t>
        </is>
      </c>
      <c r="G340" s="4" t="inlineStr">
        <is>
          <t>♠8</t>
        </is>
      </c>
      <c r="H340" s="4" t="inlineStr">
        <is>
          <t>♦Q</t>
        </is>
      </c>
      <c r="I340" s="4" t="inlineStr">
        <is>
          <t>玩1</t>
        </is>
      </c>
      <c r="J340" s="4" t="n">
        <v>0</v>
      </c>
      <c r="K340" s="4" t="inlineStr">
        <is>
          <t>庄家方</t>
        </is>
      </c>
    </row>
    <row r="341">
      <c r="A341" s="4" t="n">
        <v>37</v>
      </c>
      <c r="B341" s="4" t="n">
        <v>7</v>
      </c>
      <c r="C341" s="4" t="inlineStr">
        <is>
          <t>单张</t>
        </is>
      </c>
      <c r="D341" s="4" t="inlineStr">
        <is>
          <t>玩1</t>
        </is>
      </c>
      <c r="E341" s="4" t="inlineStr">
        <is>
          <t>♠5</t>
        </is>
      </c>
      <c r="F341" s="4" t="inlineStr">
        <is>
          <t>♥Q</t>
        </is>
      </c>
      <c r="G341" s="4" t="inlineStr">
        <is>
          <t>♠K</t>
        </is>
      </c>
      <c r="H341" s="4" t="inlineStr">
        <is>
          <t>♠A</t>
        </is>
      </c>
      <c r="I341" s="4" t="inlineStr">
        <is>
          <t>玩4</t>
        </is>
      </c>
      <c r="J341" s="4" t="n">
        <v>15</v>
      </c>
      <c r="K341" s="4" t="inlineStr">
        <is>
          <t>抓分方</t>
        </is>
      </c>
    </row>
    <row r="342">
      <c r="A342" s="4" t="n">
        <v>37</v>
      </c>
      <c r="B342" s="4" t="n">
        <v>8</v>
      </c>
      <c r="C342" s="4" t="inlineStr">
        <is>
          <t>单张</t>
        </is>
      </c>
      <c r="D342" s="4" t="inlineStr">
        <is>
          <t>玩4</t>
        </is>
      </c>
      <c r="E342" s="4" t="inlineStr">
        <is>
          <t>♦K</t>
        </is>
      </c>
      <c r="F342" s="4" t="inlineStr">
        <is>
          <t>♥K</t>
        </is>
      </c>
      <c r="G342" s="4" t="inlineStr">
        <is>
          <t>♠2</t>
        </is>
      </c>
      <c r="H342" s="4" t="inlineStr">
        <is>
          <t>♦5</t>
        </is>
      </c>
      <c r="I342" s="4" t="inlineStr">
        <is>
          <t>玩3</t>
        </is>
      </c>
      <c r="J342" s="4" t="n">
        <v>25</v>
      </c>
      <c r="K342" s="4" t="inlineStr">
        <is>
          <t>庄家方</t>
        </is>
      </c>
    </row>
    <row r="343">
      <c r="A343" s="4" t="n">
        <v>37</v>
      </c>
      <c r="B343" s="4" t="n">
        <v>9</v>
      </c>
      <c r="C343" s="4" t="inlineStr">
        <is>
          <t>单张</t>
        </is>
      </c>
      <c r="D343" s="4" t="inlineStr">
        <is>
          <t>玩3</t>
        </is>
      </c>
      <c r="E343" s="4" t="inlineStr">
        <is>
          <t>♣K</t>
        </is>
      </c>
      <c r="F343" s="4" t="inlineStr">
        <is>
          <t>♥A</t>
        </is>
      </c>
      <c r="G343" s="4" t="inlineStr">
        <is>
          <t>小王</t>
        </is>
      </c>
      <c r="H343" s="4" t="inlineStr">
        <is>
          <t>♠10</t>
        </is>
      </c>
      <c r="I343" s="4" t="inlineStr">
        <is>
          <t>玩3</t>
        </is>
      </c>
      <c r="J343" s="4" t="n">
        <v>20</v>
      </c>
      <c r="K343" s="4" t="inlineStr">
        <is>
          <t>庄家方</t>
        </is>
      </c>
    </row>
    <row r="344">
      <c r="A344" s="4" t="n">
        <v>38</v>
      </c>
      <c r="B344" s="4" t="n">
        <v>1</v>
      </c>
      <c r="C344" s="4" t="inlineStr">
        <is>
          <t>对子</t>
        </is>
      </c>
      <c r="D344" s="4" t="inlineStr">
        <is>
          <t>玩2</t>
        </is>
      </c>
      <c r="E344" s="4" t="inlineStr">
        <is>
          <t>♦2 ♠2</t>
        </is>
      </c>
      <c r="F344" s="4" t="inlineStr">
        <is>
          <t>♦J ♥J</t>
        </is>
      </c>
      <c r="G344" s="4" t="inlineStr">
        <is>
          <t>♦5 ♦K</t>
        </is>
      </c>
      <c r="H344" s="4" t="inlineStr">
        <is>
          <t>♦6 ♦9</t>
        </is>
      </c>
      <c r="I344" s="4" t="inlineStr">
        <is>
          <t>玩1</t>
        </is>
      </c>
      <c r="J344" s="4" t="n">
        <v>15</v>
      </c>
      <c r="K344" s="4" t="inlineStr">
        <is>
          <t>抓分方</t>
        </is>
      </c>
    </row>
    <row r="345">
      <c r="A345" s="4" t="n">
        <v>38</v>
      </c>
      <c r="B345" s="4" t="n">
        <v>2</v>
      </c>
      <c r="C345" s="4" t="inlineStr">
        <is>
          <t>对子</t>
        </is>
      </c>
      <c r="D345" s="4" t="inlineStr">
        <is>
          <t>玩1</t>
        </is>
      </c>
      <c r="E345" s="4" t="inlineStr">
        <is>
          <t>♣7 ♠7</t>
        </is>
      </c>
      <c r="F345" s="4" t="inlineStr">
        <is>
          <t>♣10 ♣A</t>
        </is>
      </c>
      <c r="G345" s="4" t="inlineStr">
        <is>
          <t>♣2 ♣3</t>
        </is>
      </c>
      <c r="H345" s="4" t="inlineStr">
        <is>
          <t>♣8 ♣Q</t>
        </is>
      </c>
      <c r="I345" s="4" t="inlineStr">
        <is>
          <t>玩3</t>
        </is>
      </c>
      <c r="J345" s="4" t="n">
        <v>10</v>
      </c>
      <c r="K345" s="4" t="inlineStr">
        <is>
          <t>抓分方</t>
        </is>
      </c>
    </row>
    <row r="346">
      <c r="A346" s="4" t="n">
        <v>38</v>
      </c>
      <c r="B346" s="4" t="n">
        <v>3</v>
      </c>
      <c r="C346" s="4" t="inlineStr">
        <is>
          <t>单张</t>
        </is>
      </c>
      <c r="D346" s="4" t="inlineStr">
        <is>
          <t>玩3</t>
        </is>
      </c>
      <c r="E346" s="4" t="inlineStr">
        <is>
          <t>♥Q</t>
        </is>
      </c>
      <c r="F346" s="4" t="inlineStr">
        <is>
          <t>♠5</t>
        </is>
      </c>
      <c r="G346" s="4" t="inlineStr">
        <is>
          <t>♥4</t>
        </is>
      </c>
      <c r="H346" s="4" t="inlineStr">
        <is>
          <t>♥3</t>
        </is>
      </c>
      <c r="I346" s="4" t="inlineStr">
        <is>
          <t>玩4</t>
        </is>
      </c>
      <c r="J346" s="4" t="n">
        <v>5</v>
      </c>
      <c r="K346" s="4" t="inlineStr">
        <is>
          <t>庄家方</t>
        </is>
      </c>
    </row>
    <row r="347">
      <c r="A347" s="4" t="n">
        <v>38</v>
      </c>
      <c r="B347" s="4" t="n">
        <v>4</v>
      </c>
      <c r="C347" s="4" t="inlineStr">
        <is>
          <t>对子</t>
        </is>
      </c>
      <c r="D347" s="4" t="inlineStr">
        <is>
          <t>玩4</t>
        </is>
      </c>
      <c r="E347" s="4" t="inlineStr">
        <is>
          <t>♣4 ♣6</t>
        </is>
      </c>
      <c r="F347" s="4" t="inlineStr">
        <is>
          <t>♠8 ♠10</t>
        </is>
      </c>
      <c r="G347" s="4" t="inlineStr">
        <is>
          <t>♥2</t>
        </is>
      </c>
      <c r="H347" s="4" t="inlineStr">
        <is>
          <t>♠A ♦A</t>
        </is>
      </c>
      <c r="I347" s="4" t="inlineStr">
        <is>
          <t>玩3</t>
        </is>
      </c>
      <c r="J347" s="4" t="n">
        <v>10</v>
      </c>
      <c r="K347" s="4" t="inlineStr">
        <is>
          <t>抓分方</t>
        </is>
      </c>
    </row>
    <row r="348">
      <c r="A348" s="4" t="n">
        <v>38</v>
      </c>
      <c r="B348" s="4" t="n">
        <v>5</v>
      </c>
      <c r="C348" s="4" t="inlineStr">
        <is>
          <t>单张</t>
        </is>
      </c>
      <c r="D348" s="4" t="inlineStr">
        <is>
          <t>玩3</t>
        </is>
      </c>
      <c r="E348" s="4" t="inlineStr">
        <is>
          <t>♠J</t>
        </is>
      </c>
      <c r="F348" s="4" t="inlineStr">
        <is>
          <t>♠Q</t>
        </is>
      </c>
      <c r="G348" s="4" t="inlineStr">
        <is>
          <t>♠6</t>
        </is>
      </c>
      <c r="H348" s="4" t="inlineStr">
        <is>
          <t>♠4</t>
        </is>
      </c>
      <c r="I348" s="4" t="inlineStr">
        <is>
          <t>玩2</t>
        </is>
      </c>
      <c r="J348" s="4" t="n">
        <v>0</v>
      </c>
      <c r="K348" s="4" t="inlineStr">
        <is>
          <t>庄家方</t>
        </is>
      </c>
    </row>
    <row r="349">
      <c r="A349" s="4" t="n">
        <v>38</v>
      </c>
      <c r="B349" s="4" t="n">
        <v>6</v>
      </c>
      <c r="C349" s="4" t="inlineStr">
        <is>
          <t>单张</t>
        </is>
      </c>
      <c r="D349" s="4" t="inlineStr">
        <is>
          <t>玩2</t>
        </is>
      </c>
      <c r="E349" s="4" t="inlineStr">
        <is>
          <t>♣9</t>
        </is>
      </c>
      <c r="F349" s="4" t="inlineStr">
        <is>
          <t>♦8</t>
        </is>
      </c>
      <c r="G349" s="4" t="inlineStr">
        <is>
          <t>♥5</t>
        </is>
      </c>
      <c r="H349" s="4" t="inlineStr">
        <is>
          <t>小王</t>
        </is>
      </c>
      <c r="I349" s="4" t="inlineStr">
        <is>
          <t>玩4</t>
        </is>
      </c>
      <c r="J349" s="4" t="n">
        <v>5</v>
      </c>
      <c r="K349" s="4" t="inlineStr">
        <is>
          <t>庄家方</t>
        </is>
      </c>
    </row>
    <row r="350">
      <c r="A350" s="4" t="n">
        <v>38</v>
      </c>
      <c r="B350" s="4" t="n">
        <v>7</v>
      </c>
      <c r="C350" s="4" t="inlineStr">
        <is>
          <t>单张</t>
        </is>
      </c>
      <c r="D350" s="4" t="inlineStr">
        <is>
          <t>玩4</t>
        </is>
      </c>
      <c r="E350" s="4" t="inlineStr">
        <is>
          <t>♥A</t>
        </is>
      </c>
      <c r="F350" s="4" t="inlineStr">
        <is>
          <t>大王</t>
        </is>
      </c>
      <c r="G350" s="4" t="inlineStr">
        <is>
          <t>♥7</t>
        </is>
      </c>
      <c r="H350" s="4" t="inlineStr">
        <is>
          <t>♥10</t>
        </is>
      </c>
      <c r="I350" s="4" t="inlineStr">
        <is>
          <t>玩2</t>
        </is>
      </c>
      <c r="J350" s="4" t="n">
        <v>10</v>
      </c>
      <c r="K350" s="4" t="inlineStr">
        <is>
          <t>庄家方</t>
        </is>
      </c>
    </row>
    <row r="351">
      <c r="A351" s="4" t="n">
        <v>38</v>
      </c>
      <c r="B351" s="4" t="n">
        <v>8</v>
      </c>
      <c r="C351" s="4" t="inlineStr">
        <is>
          <t>单张</t>
        </is>
      </c>
      <c r="D351" s="4" t="inlineStr">
        <is>
          <t>玩2</t>
        </is>
      </c>
      <c r="E351" s="4" t="inlineStr">
        <is>
          <t>♣J</t>
        </is>
      </c>
      <c r="F351" s="4" t="inlineStr">
        <is>
          <t>♦Q</t>
        </is>
      </c>
      <c r="G351" s="4" t="inlineStr">
        <is>
          <t>♣5</t>
        </is>
      </c>
      <c r="H351" s="4" t="inlineStr">
        <is>
          <t>♠K</t>
        </is>
      </c>
      <c r="I351" s="4" t="inlineStr">
        <is>
          <t>玩2</t>
        </is>
      </c>
      <c r="J351" s="4" t="n">
        <v>15</v>
      </c>
      <c r="K351" s="4" t="inlineStr">
        <is>
          <t>庄家方</t>
        </is>
      </c>
    </row>
    <row r="352">
      <c r="A352" s="4" t="n">
        <v>38</v>
      </c>
      <c r="B352" s="4" t="n">
        <v>9</v>
      </c>
      <c r="C352" s="4" t="inlineStr">
        <is>
          <t>单张</t>
        </is>
      </c>
      <c r="D352" s="4" t="inlineStr">
        <is>
          <t>玩2</t>
        </is>
      </c>
      <c r="E352" s="4" t="inlineStr">
        <is>
          <t>♣K</t>
        </is>
      </c>
      <c r="F352" s="4" t="inlineStr">
        <is>
          <t>♦10</t>
        </is>
      </c>
      <c r="G352" s="4" t="inlineStr">
        <is>
          <t>♥8</t>
        </is>
      </c>
      <c r="H352" s="4" t="inlineStr">
        <is>
          <t>♥K</t>
        </is>
      </c>
      <c r="I352" s="4" t="inlineStr">
        <is>
          <t>玩2</t>
        </is>
      </c>
      <c r="J352" s="4" t="n">
        <v>30</v>
      </c>
      <c r="K352" s="4" t="inlineStr">
        <is>
          <t>庄家方</t>
        </is>
      </c>
    </row>
    <row r="353">
      <c r="A353" s="4" t="n">
        <v>38</v>
      </c>
      <c r="B353" s="4" t="n">
        <v>10</v>
      </c>
      <c r="C353" s="4" t="inlineStr">
        <is>
          <t>单张</t>
        </is>
      </c>
      <c r="D353" s="4" t="inlineStr">
        <is>
          <t>玩2</t>
        </is>
      </c>
      <c r="E353" s="4" t="inlineStr">
        <is>
          <t>无</t>
        </is>
      </c>
      <c r="F353" s="4" t="inlineStr">
        <is>
          <t>无</t>
        </is>
      </c>
      <c r="G353" s="4" t="inlineStr">
        <is>
          <t>♥9</t>
        </is>
      </c>
      <c r="H353" s="4" t="inlineStr">
        <is>
          <t>无</t>
        </is>
      </c>
      <c r="I353" s="4" t="inlineStr">
        <is>
          <t>玩3</t>
        </is>
      </c>
      <c r="J353" s="4" t="n">
        <v>0</v>
      </c>
      <c r="K353" s="4" t="inlineStr">
        <is>
          <t>抓分方</t>
        </is>
      </c>
    </row>
    <row r="354">
      <c r="A354" s="4" t="n">
        <v>39</v>
      </c>
      <c r="B354" s="4" t="n">
        <v>1</v>
      </c>
      <c r="C354" s="4" t="inlineStr">
        <is>
          <t>对子</t>
        </is>
      </c>
      <c r="D354" s="4" t="inlineStr">
        <is>
          <t>玩3</t>
        </is>
      </c>
      <c r="E354" s="4" t="inlineStr">
        <is>
          <t>♠8 ♠9</t>
        </is>
      </c>
      <c r="F354" s="4" t="inlineStr">
        <is>
          <t>♠3 ♠4</t>
        </is>
      </c>
      <c r="G354" s="4" t="inlineStr">
        <is>
          <t>♠2 ♣2</t>
        </is>
      </c>
      <c r="H354" s="4" t="inlineStr">
        <is>
          <t>♠7 ♠10</t>
        </is>
      </c>
      <c r="I354" s="4" t="inlineStr">
        <is>
          <t>玩3</t>
        </is>
      </c>
      <c r="J354" s="4" t="n">
        <v>10</v>
      </c>
      <c r="K354" s="4" t="inlineStr">
        <is>
          <t>庄家方</t>
        </is>
      </c>
    </row>
    <row r="355">
      <c r="A355" s="4" t="n">
        <v>39</v>
      </c>
      <c r="B355" s="4" t="n">
        <v>2</v>
      </c>
      <c r="C355" s="4" t="inlineStr">
        <is>
          <t>对子</t>
        </is>
      </c>
      <c r="D355" s="4" t="inlineStr">
        <is>
          <t>玩3</t>
        </is>
      </c>
      <c r="E355" s="4" t="inlineStr">
        <is>
          <t>♣5 ♣9</t>
        </is>
      </c>
      <c r="F355" s="4" t="inlineStr">
        <is>
          <t>♣J ♣Q</t>
        </is>
      </c>
      <c r="G355" s="4" t="inlineStr">
        <is>
          <t>♣8 ♦8</t>
        </is>
      </c>
      <c r="H355" s="4" t="inlineStr">
        <is>
          <t>♣7 ♣K</t>
        </is>
      </c>
      <c r="I355" s="4" t="inlineStr">
        <is>
          <t>玩4</t>
        </is>
      </c>
      <c r="J355" s="4" t="n">
        <v>15</v>
      </c>
      <c r="K355" s="4" t="inlineStr">
        <is>
          <t>抓分方</t>
        </is>
      </c>
    </row>
    <row r="356">
      <c r="A356" s="4" t="n">
        <v>39</v>
      </c>
      <c r="B356" s="4" t="n">
        <v>3</v>
      </c>
      <c r="C356" s="4" t="inlineStr">
        <is>
          <t>对子</t>
        </is>
      </c>
      <c r="D356" s="4" t="inlineStr">
        <is>
          <t>玩4</t>
        </is>
      </c>
      <c r="E356" s="4" t="inlineStr">
        <is>
          <t>♦4 ♦9</t>
        </is>
      </c>
      <c r="F356" s="4" t="inlineStr">
        <is>
          <t>♥4 ♥7</t>
        </is>
      </c>
      <c r="G356" s="4" t="inlineStr">
        <is>
          <t>♥3 ♥K</t>
        </is>
      </c>
      <c r="H356" s="4" t="inlineStr">
        <is>
          <t>♥6 ♦6</t>
        </is>
      </c>
      <c r="I356" s="4" t="inlineStr">
        <is>
          <t>玩3</t>
        </is>
      </c>
      <c r="J356" s="4" t="n">
        <v>10</v>
      </c>
      <c r="K356" s="4" t="inlineStr">
        <is>
          <t>庄家方</t>
        </is>
      </c>
    </row>
    <row r="357">
      <c r="A357" s="4" t="n">
        <v>39</v>
      </c>
      <c r="B357" s="4" t="n">
        <v>4</v>
      </c>
      <c r="C357" s="4" t="inlineStr">
        <is>
          <t>单张</t>
        </is>
      </c>
      <c r="D357" s="4" t="inlineStr">
        <is>
          <t>玩3</t>
        </is>
      </c>
      <c r="E357" s="4" t="inlineStr">
        <is>
          <t>♣10</t>
        </is>
      </c>
      <c r="F357" s="4" t="inlineStr">
        <is>
          <t>♥10</t>
        </is>
      </c>
      <c r="G357" s="4" t="inlineStr">
        <is>
          <t>♣6</t>
        </is>
      </c>
      <c r="H357" s="4" t="inlineStr">
        <is>
          <t>♦3</t>
        </is>
      </c>
      <c r="I357" s="4" t="inlineStr">
        <is>
          <t>玩1</t>
        </is>
      </c>
      <c r="J357" s="4" t="n">
        <v>20</v>
      </c>
      <c r="K357" s="4" t="inlineStr">
        <is>
          <t>庄家方</t>
        </is>
      </c>
    </row>
    <row r="358">
      <c r="A358" s="4" t="n">
        <v>39</v>
      </c>
      <c r="B358" s="4" t="n">
        <v>5</v>
      </c>
      <c r="C358" s="4" t="inlineStr">
        <is>
          <t>单张</t>
        </is>
      </c>
      <c r="D358" s="4" t="inlineStr">
        <is>
          <t>玩1</t>
        </is>
      </c>
      <c r="E358" s="4" t="inlineStr">
        <is>
          <t>♦J</t>
        </is>
      </c>
      <c r="F358" s="4" t="inlineStr">
        <is>
          <t>♦Q</t>
        </is>
      </c>
      <c r="G358" s="4" t="inlineStr">
        <is>
          <t>♦5</t>
        </is>
      </c>
      <c r="H358" s="4" t="inlineStr">
        <is>
          <t>♥2</t>
        </is>
      </c>
      <c r="I358" s="4" t="inlineStr">
        <is>
          <t>玩4</t>
        </is>
      </c>
      <c r="J358" s="4" t="n">
        <v>5</v>
      </c>
      <c r="K358" s="4" t="inlineStr">
        <is>
          <t>抓分方</t>
        </is>
      </c>
    </row>
    <row r="359">
      <c r="A359" s="4" t="n">
        <v>39</v>
      </c>
      <c r="B359" s="4" t="n">
        <v>6</v>
      </c>
      <c r="C359" s="4" t="inlineStr">
        <is>
          <t>单张</t>
        </is>
      </c>
      <c r="D359" s="4" t="inlineStr">
        <is>
          <t>玩4</t>
        </is>
      </c>
      <c r="E359" s="4" t="inlineStr">
        <is>
          <t>♥Q</t>
        </is>
      </c>
      <c r="F359" s="4" t="inlineStr">
        <is>
          <t>♥A</t>
        </is>
      </c>
      <c r="G359" s="4" t="inlineStr">
        <is>
          <t>♦K</t>
        </is>
      </c>
      <c r="H359" s="4" t="inlineStr">
        <is>
          <t>♥9</t>
        </is>
      </c>
      <c r="I359" s="4" t="inlineStr">
        <is>
          <t>玩2</t>
        </is>
      </c>
      <c r="J359" s="4" t="n">
        <v>10</v>
      </c>
      <c r="K359" s="4" t="inlineStr">
        <is>
          <t>抓分方</t>
        </is>
      </c>
    </row>
    <row r="360">
      <c r="A360" s="4" t="n">
        <v>39</v>
      </c>
      <c r="B360" s="4" t="n">
        <v>7</v>
      </c>
      <c r="C360" s="4" t="inlineStr">
        <is>
          <t>单张</t>
        </is>
      </c>
      <c r="D360" s="4" t="inlineStr">
        <is>
          <t>玩2</t>
        </is>
      </c>
      <c r="E360" s="4" t="inlineStr">
        <is>
          <t>♠A</t>
        </is>
      </c>
      <c r="F360" s="4" t="inlineStr">
        <is>
          <t>♠J</t>
        </is>
      </c>
      <c r="G360" s="4" t="inlineStr">
        <is>
          <t>♣A</t>
        </is>
      </c>
      <c r="H360" s="4" t="inlineStr">
        <is>
          <t>♠Q</t>
        </is>
      </c>
      <c r="I360" s="4" t="inlineStr">
        <is>
          <t>玩1</t>
        </is>
      </c>
      <c r="J360" s="4" t="n">
        <v>0</v>
      </c>
      <c r="K360" s="4" t="inlineStr">
        <is>
          <t>庄家方</t>
        </is>
      </c>
    </row>
    <row r="361">
      <c r="A361" s="4" t="n">
        <v>39</v>
      </c>
      <c r="B361" s="4" t="n">
        <v>8</v>
      </c>
      <c r="C361" s="4" t="inlineStr">
        <is>
          <t>单张</t>
        </is>
      </c>
      <c r="D361" s="4" t="inlineStr">
        <is>
          <t>玩1</t>
        </is>
      </c>
      <c r="E361" s="4" t="inlineStr">
        <is>
          <t>♦2</t>
        </is>
      </c>
      <c r="F361" s="4" t="inlineStr">
        <is>
          <t>♦A</t>
        </is>
      </c>
      <c r="G361" s="4" t="inlineStr">
        <is>
          <t>大王</t>
        </is>
      </c>
      <c r="H361" s="4" t="inlineStr">
        <is>
          <t>♥5</t>
        </is>
      </c>
      <c r="I361" s="4" t="inlineStr">
        <is>
          <t>玩3</t>
        </is>
      </c>
      <c r="J361" s="4" t="n">
        <v>5</v>
      </c>
      <c r="K361" s="4" t="inlineStr">
        <is>
          <t>庄家方</t>
        </is>
      </c>
    </row>
    <row r="362">
      <c r="A362" s="4" t="n">
        <v>39</v>
      </c>
      <c r="B362" s="4" t="n">
        <v>9</v>
      </c>
      <c r="C362" s="4" t="inlineStr">
        <is>
          <t>单张</t>
        </is>
      </c>
      <c r="D362" s="4" t="inlineStr">
        <is>
          <t>玩3</t>
        </is>
      </c>
      <c r="E362" s="4" t="inlineStr">
        <is>
          <t>♦10</t>
        </is>
      </c>
      <c r="F362" s="4" t="inlineStr">
        <is>
          <t>♠K</t>
        </is>
      </c>
      <c r="G362" s="4" t="inlineStr">
        <is>
          <t>小王</t>
        </is>
      </c>
      <c r="H362" s="4" t="inlineStr">
        <is>
          <t>♥J</t>
        </is>
      </c>
      <c r="I362" s="4" t="inlineStr">
        <is>
          <t>玩3</t>
        </is>
      </c>
      <c r="J362" s="4" t="n">
        <v>20</v>
      </c>
      <c r="K362" s="4" t="inlineStr">
        <is>
          <t>庄家方</t>
        </is>
      </c>
    </row>
    <row r="363">
      <c r="A363" s="4" t="n">
        <v>40</v>
      </c>
      <c r="B363" s="4" t="n">
        <v>1</v>
      </c>
      <c r="C363" s="4" t="inlineStr">
        <is>
          <t>对子</t>
        </is>
      </c>
      <c r="D363" s="4" t="inlineStr">
        <is>
          <t>玩4</t>
        </is>
      </c>
      <c r="E363" s="4" t="inlineStr">
        <is>
          <t>♠2 ♠J</t>
        </is>
      </c>
      <c r="F363" s="4" t="inlineStr">
        <is>
          <t>♠3 ♠5</t>
        </is>
      </c>
      <c r="G363" s="4" t="inlineStr">
        <is>
          <t>♠4 ♠Q</t>
        </is>
      </c>
      <c r="H363" s="4" t="inlineStr">
        <is>
          <t>♠8 ♥8</t>
        </is>
      </c>
      <c r="I363" s="4" t="inlineStr">
        <is>
          <t>玩1</t>
        </is>
      </c>
      <c r="J363" s="4" t="n">
        <v>5</v>
      </c>
      <c r="K363" s="4" t="inlineStr">
        <is>
          <t>抓分方</t>
        </is>
      </c>
    </row>
    <row r="364">
      <c r="A364" s="4" t="n">
        <v>40</v>
      </c>
      <c r="B364" s="4" t="n">
        <v>2</v>
      </c>
      <c r="C364" s="4" t="inlineStr">
        <is>
          <t>对子</t>
        </is>
      </c>
      <c r="D364" s="4" t="inlineStr">
        <is>
          <t>玩1</t>
        </is>
      </c>
      <c r="E364" s="4" t="inlineStr">
        <is>
          <t>♣7 ♥7</t>
        </is>
      </c>
      <c r="F364" s="4" t="inlineStr">
        <is>
          <t>♣3 ♣J</t>
        </is>
      </c>
      <c r="G364" s="4" t="inlineStr">
        <is>
          <t>♣2 ♣5</t>
        </is>
      </c>
      <c r="H364" s="4" t="inlineStr">
        <is>
          <t>♥3 大王</t>
        </is>
      </c>
      <c r="I364" s="4" t="inlineStr">
        <is>
          <t>玩4</t>
        </is>
      </c>
      <c r="J364" s="4" t="n">
        <v>5</v>
      </c>
      <c r="K364" s="4" t="inlineStr">
        <is>
          <t>庄家方</t>
        </is>
      </c>
    </row>
    <row r="365">
      <c r="A365" s="4" t="n">
        <v>40</v>
      </c>
      <c r="B365" s="4" t="n">
        <v>3</v>
      </c>
      <c r="C365" s="4" t="inlineStr">
        <is>
          <t>对子</t>
        </is>
      </c>
      <c r="D365" s="4" t="inlineStr">
        <is>
          <t>玩4</t>
        </is>
      </c>
      <c r="E365" s="4" t="inlineStr">
        <is>
          <t>♦3 ♣4</t>
        </is>
      </c>
      <c r="F365" s="4" t="inlineStr">
        <is>
          <t>♦4 ♦6</t>
        </is>
      </c>
      <c r="G365" s="4" t="inlineStr">
        <is>
          <t>♥2 ♥J</t>
        </is>
      </c>
      <c r="H365" s="4" t="inlineStr">
        <is>
          <t>♥9 ♠9</t>
        </is>
      </c>
      <c r="I365" s="4" t="inlineStr">
        <is>
          <t>玩3</t>
        </is>
      </c>
      <c r="J365" s="4" t="n">
        <v>0</v>
      </c>
      <c r="K365" s="4" t="inlineStr">
        <is>
          <t>抓分方</t>
        </is>
      </c>
    </row>
    <row r="366">
      <c r="A366" s="4" t="n">
        <v>40</v>
      </c>
      <c r="B366" s="4" t="n">
        <v>4</v>
      </c>
      <c r="C366" s="4" t="inlineStr">
        <is>
          <t>单张</t>
        </is>
      </c>
      <c r="D366" s="4" t="inlineStr">
        <is>
          <t>玩3</t>
        </is>
      </c>
      <c r="E366" s="4" t="inlineStr">
        <is>
          <t>♣10</t>
        </is>
      </c>
      <c r="F366" s="4" t="inlineStr">
        <is>
          <t>♣K</t>
        </is>
      </c>
      <c r="G366" s="4" t="inlineStr">
        <is>
          <t>♣9</t>
        </is>
      </c>
      <c r="H366" s="4" t="inlineStr">
        <is>
          <t>♥5</t>
        </is>
      </c>
      <c r="I366" s="4" t="inlineStr">
        <is>
          <t>玩2</t>
        </is>
      </c>
      <c r="J366" s="4" t="n">
        <v>25</v>
      </c>
      <c r="K366" s="4" t="inlineStr">
        <is>
          <t>庄家方</t>
        </is>
      </c>
    </row>
    <row r="367">
      <c r="A367" s="4" t="n">
        <v>40</v>
      </c>
      <c r="B367" s="4" t="n">
        <v>5</v>
      </c>
      <c r="C367" s="4" t="inlineStr">
        <is>
          <t>对子</t>
        </is>
      </c>
      <c r="D367" s="4" t="inlineStr">
        <is>
          <t>玩2</t>
        </is>
      </c>
      <c r="E367" s="4" t="inlineStr">
        <is>
          <t>♦5 ♥6</t>
        </is>
      </c>
      <c r="F367" s="4" t="inlineStr">
        <is>
          <t>♥A ♠A</t>
        </is>
      </c>
      <c r="G367" s="4" t="inlineStr">
        <is>
          <t>♦10 ♠K</t>
        </is>
      </c>
      <c r="H367" s="4" t="inlineStr">
        <is>
          <t>♥10 ♥Q</t>
        </is>
      </c>
      <c r="I367" s="4" t="inlineStr">
        <is>
          <t>玩2</t>
        </is>
      </c>
      <c r="J367" s="4" t="n">
        <v>35</v>
      </c>
      <c r="K367" s="4" t="inlineStr">
        <is>
          <t>庄家方</t>
        </is>
      </c>
    </row>
    <row r="368">
      <c r="A368" s="4" t="n">
        <v>40</v>
      </c>
      <c r="B368" s="4" t="n">
        <v>6</v>
      </c>
      <c r="C368" s="4" t="inlineStr">
        <is>
          <t>单张</t>
        </is>
      </c>
      <c r="D368" s="4" t="inlineStr">
        <is>
          <t>玩2</t>
        </is>
      </c>
      <c r="E368" s="4" t="inlineStr">
        <is>
          <t>♦7</t>
        </is>
      </c>
      <c r="F368" s="4" t="inlineStr">
        <is>
          <t>♠6</t>
        </is>
      </c>
      <c r="G368" s="4" t="inlineStr">
        <is>
          <t>♥K</t>
        </is>
      </c>
      <c r="H368" s="4" t="inlineStr">
        <is>
          <t>♠10</t>
        </is>
      </c>
      <c r="I368" s="4" t="inlineStr">
        <is>
          <t>玩4</t>
        </is>
      </c>
      <c r="J368" s="4" t="n">
        <v>20</v>
      </c>
      <c r="K368" s="4" t="inlineStr">
        <is>
          <t>庄家方</t>
        </is>
      </c>
    </row>
    <row r="369">
      <c r="A369" s="4" t="n">
        <v>40</v>
      </c>
      <c r="B369" s="4" t="n">
        <v>7</v>
      </c>
      <c r="C369" s="4" t="inlineStr">
        <is>
          <t>单张</t>
        </is>
      </c>
      <c r="D369" s="4" t="inlineStr">
        <is>
          <t>玩4</t>
        </is>
      </c>
      <c r="E369" s="4" t="inlineStr">
        <is>
          <t>♦9</t>
        </is>
      </c>
      <c r="F369" s="4" t="inlineStr">
        <is>
          <t>♦8</t>
        </is>
      </c>
      <c r="G369" s="4" t="inlineStr">
        <is>
          <t>♣A</t>
        </is>
      </c>
      <c r="H369" s="4" t="inlineStr">
        <is>
          <t>♦Q</t>
        </is>
      </c>
      <c r="I369" s="4" t="inlineStr">
        <is>
          <t>玩4</t>
        </is>
      </c>
      <c r="J369" s="4" t="n">
        <v>0</v>
      </c>
      <c r="K369" s="4" t="inlineStr">
        <is>
          <t>庄家方</t>
        </is>
      </c>
    </row>
    <row r="370">
      <c r="A370" s="4" t="n">
        <v>40</v>
      </c>
      <c r="B370" s="4" t="n">
        <v>8</v>
      </c>
      <c r="C370" s="4" t="inlineStr">
        <is>
          <t>单张</t>
        </is>
      </c>
      <c r="D370" s="4" t="inlineStr">
        <is>
          <t>玩4</t>
        </is>
      </c>
      <c r="E370" s="4" t="inlineStr">
        <is>
          <t>♦J</t>
        </is>
      </c>
      <c r="F370" s="4" t="inlineStr">
        <is>
          <t>♦K</t>
        </is>
      </c>
      <c r="G370" s="4" t="inlineStr">
        <is>
          <t>小王</t>
        </is>
      </c>
      <c r="H370" s="4" t="inlineStr">
        <is>
          <t>♦2</t>
        </is>
      </c>
      <c r="I370" s="4" t="inlineStr">
        <is>
          <t>玩3</t>
        </is>
      </c>
      <c r="J370" s="4" t="n">
        <v>10</v>
      </c>
      <c r="K370" s="4" t="inlineStr">
        <is>
          <t>抓分方</t>
        </is>
      </c>
    </row>
    <row r="371">
      <c r="A371" s="4" t="n">
        <v>41</v>
      </c>
      <c r="B371" s="4" t="n">
        <v>1</v>
      </c>
      <c r="C371" s="4" t="inlineStr">
        <is>
          <t>对子</t>
        </is>
      </c>
      <c r="D371" s="4" t="inlineStr">
        <is>
          <t>玩1</t>
        </is>
      </c>
      <c r="E371" s="4" t="inlineStr">
        <is>
          <t>♠3 ♥3</t>
        </is>
      </c>
      <c r="F371" s="4" t="inlineStr">
        <is>
          <t>♣7 ♥7</t>
        </is>
      </c>
      <c r="G371" s="4" t="inlineStr">
        <is>
          <t>♠2 ♠5</t>
        </is>
      </c>
      <c r="H371" s="4" t="inlineStr">
        <is>
          <t>♣3 ♠4</t>
        </is>
      </c>
      <c r="I371" s="4" t="inlineStr">
        <is>
          <t>玩1</t>
        </is>
      </c>
      <c r="J371" s="4" t="n">
        <v>5</v>
      </c>
      <c r="K371" s="4" t="inlineStr">
        <is>
          <t>庄家方</t>
        </is>
      </c>
    </row>
    <row r="372">
      <c r="A372" s="4" t="n">
        <v>41</v>
      </c>
      <c r="B372" s="4" t="n">
        <v>2</v>
      </c>
      <c r="C372" s="4" t="inlineStr">
        <is>
          <t>单张</t>
        </is>
      </c>
      <c r="D372" s="4" t="inlineStr">
        <is>
          <t>玩1</t>
        </is>
      </c>
      <c r="E372" s="4" t="inlineStr">
        <is>
          <t>♥8</t>
        </is>
      </c>
      <c r="F372" s="4" t="inlineStr">
        <is>
          <t>♥A</t>
        </is>
      </c>
      <c r="G372" s="4" t="inlineStr">
        <is>
          <t>♥10</t>
        </is>
      </c>
      <c r="H372" s="4" t="inlineStr">
        <is>
          <t>♥2</t>
        </is>
      </c>
      <c r="I372" s="4" t="inlineStr">
        <is>
          <t>玩4</t>
        </is>
      </c>
      <c r="J372" s="4" t="n">
        <v>10</v>
      </c>
      <c r="K372" s="4" t="inlineStr">
        <is>
          <t>抓分方</t>
        </is>
      </c>
    </row>
    <row r="373">
      <c r="A373" s="4" t="n">
        <v>41</v>
      </c>
      <c r="B373" s="4" t="n">
        <v>3</v>
      </c>
      <c r="C373" s="4" t="inlineStr">
        <is>
          <t>单张</t>
        </is>
      </c>
      <c r="D373" s="4" t="inlineStr">
        <is>
          <t>玩4</t>
        </is>
      </c>
      <c r="E373" s="4" t="inlineStr">
        <is>
          <t>♥9</t>
        </is>
      </c>
      <c r="F373" s="4" t="inlineStr">
        <is>
          <t>♠9</t>
        </is>
      </c>
      <c r="G373" s="4" t="inlineStr">
        <is>
          <t>♠6</t>
        </is>
      </c>
      <c r="H373" s="4" t="inlineStr">
        <is>
          <t>♥4</t>
        </is>
      </c>
      <c r="I373" s="4" t="inlineStr">
        <is>
          <t>玩1</t>
        </is>
      </c>
      <c r="J373" s="4" t="n">
        <v>0</v>
      </c>
      <c r="K373" s="4" t="inlineStr">
        <is>
          <t>庄家方</t>
        </is>
      </c>
    </row>
    <row r="374">
      <c r="A374" s="4" t="n">
        <v>41</v>
      </c>
      <c r="B374" s="4" t="n">
        <v>4</v>
      </c>
      <c r="C374" s="4" t="inlineStr">
        <is>
          <t>单张</t>
        </is>
      </c>
      <c r="D374" s="4" t="inlineStr">
        <is>
          <t>玩1</t>
        </is>
      </c>
      <c r="E374" s="4" t="inlineStr">
        <is>
          <t>♠J</t>
        </is>
      </c>
      <c r="F374" s="4" t="inlineStr">
        <is>
          <t>♣9</t>
        </is>
      </c>
      <c r="G374" s="4" t="inlineStr">
        <is>
          <t>♠7</t>
        </is>
      </c>
      <c r="H374" s="4" t="inlineStr">
        <is>
          <t>♣5</t>
        </is>
      </c>
      <c r="I374" s="4" t="inlineStr">
        <is>
          <t>玩1</t>
        </is>
      </c>
      <c r="J374" s="4" t="n">
        <v>5</v>
      </c>
      <c r="K374" s="4" t="inlineStr">
        <is>
          <t>庄家方</t>
        </is>
      </c>
    </row>
    <row r="375">
      <c r="A375" s="4" t="n">
        <v>41</v>
      </c>
      <c r="B375" s="4" t="n">
        <v>5</v>
      </c>
      <c r="C375" s="4" t="inlineStr">
        <is>
          <t>单张</t>
        </is>
      </c>
      <c r="D375" s="4" t="inlineStr">
        <is>
          <t>玩1</t>
        </is>
      </c>
      <c r="E375" s="4" t="inlineStr">
        <is>
          <t>♣Q</t>
        </is>
      </c>
      <c r="F375" s="4" t="inlineStr">
        <is>
          <t>♦J</t>
        </is>
      </c>
      <c r="G375" s="4" t="inlineStr">
        <is>
          <t>♣J</t>
        </is>
      </c>
      <c r="H375" s="4" t="inlineStr">
        <is>
          <t>♣8</t>
        </is>
      </c>
      <c r="I375" s="4" t="inlineStr">
        <is>
          <t>玩1</t>
        </is>
      </c>
      <c r="J375" s="4" t="n">
        <v>0</v>
      </c>
      <c r="K375" s="4" t="inlineStr">
        <is>
          <t>庄家方</t>
        </is>
      </c>
    </row>
    <row r="376">
      <c r="A376" s="4" t="n">
        <v>41</v>
      </c>
      <c r="B376" s="4" t="n">
        <v>6</v>
      </c>
      <c r="C376" s="4" t="inlineStr">
        <is>
          <t>单张</t>
        </is>
      </c>
      <c r="D376" s="4" t="inlineStr">
        <is>
          <t>玩1</t>
        </is>
      </c>
      <c r="E376" s="4" t="inlineStr">
        <is>
          <t>♣A</t>
        </is>
      </c>
      <c r="F376" s="4" t="inlineStr">
        <is>
          <t>♦Q</t>
        </is>
      </c>
      <c r="G376" s="4" t="inlineStr">
        <is>
          <t>♣10</t>
        </is>
      </c>
      <c r="H376" s="4" t="inlineStr">
        <is>
          <t>♦5</t>
        </is>
      </c>
      <c r="I376" s="4" t="inlineStr">
        <is>
          <t>玩1</t>
        </is>
      </c>
      <c r="J376" s="4" t="n">
        <v>15</v>
      </c>
      <c r="K376" s="4" t="inlineStr">
        <is>
          <t>庄家方</t>
        </is>
      </c>
    </row>
    <row r="377">
      <c r="A377" s="4" t="n">
        <v>41</v>
      </c>
      <c r="B377" s="4" t="n">
        <v>7</v>
      </c>
      <c r="C377" s="4" t="inlineStr">
        <is>
          <t>单张</t>
        </is>
      </c>
      <c r="D377" s="4" t="inlineStr">
        <is>
          <t>玩1</t>
        </is>
      </c>
      <c r="E377" s="4" t="inlineStr">
        <is>
          <t>♣2</t>
        </is>
      </c>
      <c r="F377" s="4" t="inlineStr">
        <is>
          <t>♦K</t>
        </is>
      </c>
      <c r="G377" s="4" t="inlineStr">
        <is>
          <t>♣K</t>
        </is>
      </c>
      <c r="H377" s="4" t="inlineStr">
        <is>
          <t>♥6</t>
        </is>
      </c>
      <c r="I377" s="4" t="inlineStr">
        <is>
          <t>玩1</t>
        </is>
      </c>
      <c r="J377" s="4" t="n">
        <v>20</v>
      </c>
      <c r="K377" s="4" t="inlineStr">
        <is>
          <t>庄家方</t>
        </is>
      </c>
    </row>
    <row r="378">
      <c r="A378" s="4" t="n">
        <v>41</v>
      </c>
      <c r="B378" s="4" t="n">
        <v>8</v>
      </c>
      <c r="C378" s="4" t="inlineStr">
        <is>
          <t>单张</t>
        </is>
      </c>
      <c r="D378" s="4" t="inlineStr">
        <is>
          <t>玩1</t>
        </is>
      </c>
      <c r="E378" s="4" t="inlineStr">
        <is>
          <t>♥5</t>
        </is>
      </c>
      <c r="F378" s="4" t="inlineStr">
        <is>
          <t>♦2</t>
        </is>
      </c>
      <c r="G378" s="4" t="inlineStr">
        <is>
          <t>♦8</t>
        </is>
      </c>
      <c r="H378" s="4" t="inlineStr">
        <is>
          <t>♥J</t>
        </is>
      </c>
      <c r="I378" s="4" t="inlineStr">
        <is>
          <t>玩2</t>
        </is>
      </c>
      <c r="J378" s="4" t="n">
        <v>5</v>
      </c>
      <c r="K378" s="4" t="inlineStr">
        <is>
          <t>抓分方</t>
        </is>
      </c>
    </row>
    <row r="379">
      <c r="A379" s="4" t="n">
        <v>41</v>
      </c>
      <c r="B379" s="4" t="n">
        <v>9</v>
      </c>
      <c r="C379" s="4" t="inlineStr">
        <is>
          <t>单张</t>
        </is>
      </c>
      <c r="D379" s="4" t="inlineStr">
        <is>
          <t>玩2</t>
        </is>
      </c>
      <c r="E379" s="4" t="inlineStr">
        <is>
          <t>♠10</t>
        </is>
      </c>
      <c r="F379" s="4" t="inlineStr">
        <is>
          <t>♦A</t>
        </is>
      </c>
      <c r="G379" s="4" t="inlineStr">
        <is>
          <t>♦10</t>
        </is>
      </c>
      <c r="H379" s="4" t="inlineStr">
        <is>
          <t>♦7</t>
        </is>
      </c>
      <c r="I379" s="4" t="inlineStr">
        <is>
          <t>玩2</t>
        </is>
      </c>
      <c r="J379" s="4" t="n">
        <v>20</v>
      </c>
      <c r="K379" s="4" t="inlineStr">
        <is>
          <t>抓分方</t>
        </is>
      </c>
    </row>
    <row r="380">
      <c r="A380" s="4" t="n">
        <v>41</v>
      </c>
      <c r="B380" s="4" t="n">
        <v>10</v>
      </c>
      <c r="C380" s="4" t="inlineStr">
        <is>
          <t>单张</t>
        </is>
      </c>
      <c r="D380" s="4" t="inlineStr">
        <is>
          <t>玩2</t>
        </is>
      </c>
      <c r="E380" s="4" t="inlineStr">
        <is>
          <t>♥K</t>
        </is>
      </c>
      <c r="F380" s="4" t="inlineStr">
        <is>
          <t>小王</t>
        </is>
      </c>
      <c r="G380" s="4" t="inlineStr">
        <is>
          <t>♠8</t>
        </is>
      </c>
      <c r="H380" s="4" t="inlineStr">
        <is>
          <t>♦9</t>
        </is>
      </c>
      <c r="I380" s="4" t="inlineStr">
        <is>
          <t>玩2</t>
        </is>
      </c>
      <c r="J380" s="4" t="n">
        <v>10</v>
      </c>
      <c r="K380" s="4" t="inlineStr">
        <is>
          <t>抓分方</t>
        </is>
      </c>
    </row>
    <row r="381">
      <c r="A381" s="4" t="n">
        <v>41</v>
      </c>
      <c r="B381" s="4" t="n">
        <v>11</v>
      </c>
      <c r="C381" s="4" t="inlineStr">
        <is>
          <t>单张</t>
        </is>
      </c>
      <c r="D381" s="4" t="inlineStr">
        <is>
          <t>玩2</t>
        </is>
      </c>
      <c r="E381" s="4" t="inlineStr">
        <is>
          <t>♠K</t>
        </is>
      </c>
      <c r="F381" s="4" t="inlineStr">
        <is>
          <t>大王</t>
        </is>
      </c>
      <c r="G381" s="4" t="inlineStr">
        <is>
          <t>♠A</t>
        </is>
      </c>
      <c r="H381" s="4" t="inlineStr">
        <is>
          <t>♥Q</t>
        </is>
      </c>
      <c r="I381" s="4" t="inlineStr">
        <is>
          <t>玩2</t>
        </is>
      </c>
      <c r="J381" s="4" t="n">
        <v>10</v>
      </c>
      <c r="K381" s="4" t="inlineStr">
        <is>
          <t>抓分方</t>
        </is>
      </c>
    </row>
    <row r="382">
      <c r="A382" s="4" t="n">
        <v>42</v>
      </c>
      <c r="B382" s="4" t="n">
        <v>1</v>
      </c>
      <c r="C382" s="4" t="inlineStr">
        <is>
          <t>对子</t>
        </is>
      </c>
      <c r="D382" s="4" t="inlineStr">
        <is>
          <t>玩2</t>
        </is>
      </c>
      <c r="E382" s="4" t="inlineStr">
        <is>
          <t>♦5 ♦6</t>
        </is>
      </c>
      <c r="F382" s="4" t="inlineStr">
        <is>
          <t>♦Q ♣Q</t>
        </is>
      </c>
      <c r="G382" s="4" t="inlineStr">
        <is>
          <t>♦2 ♦10</t>
        </is>
      </c>
      <c r="H382" s="4" t="inlineStr">
        <is>
          <t>♦3 ♦7</t>
        </is>
      </c>
      <c r="I382" s="4" t="inlineStr">
        <is>
          <t>玩3</t>
        </is>
      </c>
      <c r="J382" s="4" t="n">
        <v>15</v>
      </c>
      <c r="K382" s="4" t="inlineStr">
        <is>
          <t>抓分方</t>
        </is>
      </c>
    </row>
    <row r="383">
      <c r="A383" s="4" t="n">
        <v>42</v>
      </c>
      <c r="B383" s="4" t="n">
        <v>2</v>
      </c>
      <c r="C383" s="4" t="inlineStr">
        <is>
          <t>对子</t>
        </is>
      </c>
      <c r="D383" s="4" t="inlineStr">
        <is>
          <t>玩3</t>
        </is>
      </c>
      <c r="E383" s="4" t="inlineStr">
        <is>
          <t>♣3 ♥4</t>
        </is>
      </c>
      <c r="F383" s="4" t="inlineStr">
        <is>
          <t>♦8 ♦J</t>
        </is>
      </c>
      <c r="G383" s="4" t="inlineStr">
        <is>
          <t>♦A ♣A</t>
        </is>
      </c>
      <c r="H383" s="4" t="inlineStr">
        <is>
          <t>♠4 ♣4</t>
        </is>
      </c>
      <c r="I383" s="4" t="inlineStr">
        <is>
          <t>玩3</t>
        </is>
      </c>
      <c r="J383" s="4" t="n">
        <v>0</v>
      </c>
      <c r="K383" s="4" t="inlineStr">
        <is>
          <t>抓分方</t>
        </is>
      </c>
    </row>
    <row r="384">
      <c r="A384" s="4" t="n">
        <v>42</v>
      </c>
      <c r="B384" s="4" t="n">
        <v>3</v>
      </c>
      <c r="C384" s="4" t="inlineStr">
        <is>
          <t>单张</t>
        </is>
      </c>
      <c r="D384" s="4" t="inlineStr">
        <is>
          <t>玩3</t>
        </is>
      </c>
      <c r="E384" s="4" t="inlineStr">
        <is>
          <t>♥2</t>
        </is>
      </c>
      <c r="F384" s="4" t="inlineStr">
        <is>
          <t>♥K</t>
        </is>
      </c>
      <c r="G384" s="4" t="inlineStr">
        <is>
          <t>♥7</t>
        </is>
      </c>
      <c r="H384" s="4" t="inlineStr">
        <is>
          <t>♥8</t>
        </is>
      </c>
      <c r="I384" s="4" t="inlineStr">
        <is>
          <t>玩1</t>
        </is>
      </c>
      <c r="J384" s="4" t="n">
        <v>10</v>
      </c>
      <c r="K384" s="4" t="inlineStr">
        <is>
          <t>抓分方</t>
        </is>
      </c>
    </row>
    <row r="385">
      <c r="A385" s="4" t="n">
        <v>42</v>
      </c>
      <c r="B385" s="4" t="n">
        <v>4</v>
      </c>
      <c r="C385" s="4" t="inlineStr">
        <is>
          <t>对子</t>
        </is>
      </c>
      <c r="D385" s="4" t="inlineStr">
        <is>
          <t>玩1</t>
        </is>
      </c>
      <c r="E385" s="4" t="inlineStr">
        <is>
          <t>♣J ♠J</t>
        </is>
      </c>
      <c r="F385" s="4" t="inlineStr">
        <is>
          <t>♣5 ♣9</t>
        </is>
      </c>
      <c r="G385" s="4" t="inlineStr">
        <is>
          <t>♠2 小王</t>
        </is>
      </c>
      <c r="H385" s="4" t="inlineStr">
        <is>
          <t>♣2</t>
        </is>
      </c>
      <c r="I385" s="4" t="inlineStr">
        <is>
          <t>玩3</t>
        </is>
      </c>
      <c r="J385" s="4" t="n">
        <v>5</v>
      </c>
      <c r="K385" s="4" t="inlineStr">
        <is>
          <t>抓分方</t>
        </is>
      </c>
    </row>
    <row r="386">
      <c r="A386" s="4" t="n">
        <v>42</v>
      </c>
      <c r="B386" s="4" t="n">
        <v>5</v>
      </c>
      <c r="C386" s="4" t="inlineStr">
        <is>
          <t>单张</t>
        </is>
      </c>
      <c r="D386" s="4" t="inlineStr">
        <is>
          <t>玩3</t>
        </is>
      </c>
      <c r="E386" s="4" t="inlineStr">
        <is>
          <t>♠9</t>
        </is>
      </c>
      <c r="F386" s="4" t="inlineStr">
        <is>
          <t>♠A</t>
        </is>
      </c>
      <c r="G386" s="4" t="inlineStr">
        <is>
          <t>♠8</t>
        </is>
      </c>
      <c r="H386" s="4" t="inlineStr">
        <is>
          <t>♠7</t>
        </is>
      </c>
      <c r="I386" s="4" t="inlineStr">
        <is>
          <t>玩2</t>
        </is>
      </c>
      <c r="J386" s="4" t="n">
        <v>0</v>
      </c>
      <c r="K386" s="4" t="inlineStr">
        <is>
          <t>庄家方</t>
        </is>
      </c>
    </row>
    <row r="387">
      <c r="A387" s="4" t="n">
        <v>42</v>
      </c>
      <c r="B387" s="4" t="n">
        <v>6</v>
      </c>
      <c r="C387" s="4" t="inlineStr">
        <is>
          <t>单张</t>
        </is>
      </c>
      <c r="D387" s="4" t="inlineStr">
        <is>
          <t>玩2</t>
        </is>
      </c>
      <c r="E387" s="4" t="inlineStr">
        <is>
          <t>♣6</t>
        </is>
      </c>
      <c r="F387" s="4" t="inlineStr">
        <is>
          <t>大王</t>
        </is>
      </c>
      <c r="G387" s="4" t="inlineStr">
        <is>
          <t>♠5</t>
        </is>
      </c>
      <c r="H387" s="4" t="inlineStr">
        <is>
          <t>♥5</t>
        </is>
      </c>
      <c r="I387" s="4" t="inlineStr">
        <is>
          <t>玩2</t>
        </is>
      </c>
      <c r="J387" s="4" t="n">
        <v>10</v>
      </c>
      <c r="K387" s="4" t="inlineStr">
        <is>
          <t>庄家方</t>
        </is>
      </c>
    </row>
    <row r="388">
      <c r="A388" s="4" t="n">
        <v>42</v>
      </c>
      <c r="B388" s="4" t="n">
        <v>7</v>
      </c>
      <c r="C388" s="4" t="inlineStr">
        <is>
          <t>单张</t>
        </is>
      </c>
      <c r="D388" s="4" t="inlineStr">
        <is>
          <t>玩2</t>
        </is>
      </c>
      <c r="E388" s="4" t="inlineStr">
        <is>
          <t>♣K</t>
        </is>
      </c>
      <c r="F388" s="4" t="inlineStr">
        <is>
          <t>♣10</t>
        </is>
      </c>
      <c r="G388" s="4" t="inlineStr">
        <is>
          <t>♥10</t>
        </is>
      </c>
      <c r="H388" s="4" t="inlineStr">
        <is>
          <t>♦9</t>
        </is>
      </c>
      <c r="I388" s="4" t="inlineStr">
        <is>
          <t>玩1</t>
        </is>
      </c>
      <c r="J388" s="4" t="n">
        <v>30</v>
      </c>
      <c r="K388" s="4" t="inlineStr">
        <is>
          <t>抓分方</t>
        </is>
      </c>
    </row>
    <row r="389">
      <c r="A389" s="4" t="n">
        <v>42</v>
      </c>
      <c r="B389" s="4" t="n">
        <v>8</v>
      </c>
      <c r="C389" s="4" t="inlineStr">
        <is>
          <t>单张</t>
        </is>
      </c>
      <c r="D389" s="4" t="inlineStr">
        <is>
          <t>玩1</t>
        </is>
      </c>
      <c r="E389" s="4" t="inlineStr">
        <is>
          <t>♣8</t>
        </is>
      </c>
      <c r="F389" s="4" t="inlineStr">
        <is>
          <t>♠K</t>
        </is>
      </c>
      <c r="G389" s="4" t="inlineStr">
        <is>
          <t>♥J</t>
        </is>
      </c>
      <c r="H389" s="4" t="inlineStr">
        <is>
          <t>♠10</t>
        </is>
      </c>
      <c r="I389" s="4" t="inlineStr">
        <is>
          <t>玩1</t>
        </is>
      </c>
      <c r="J389" s="4" t="n">
        <v>20</v>
      </c>
      <c r="K389" s="4" t="inlineStr">
        <is>
          <t>抓分方</t>
        </is>
      </c>
    </row>
    <row r="390">
      <c r="A390" s="4" t="n">
        <v>42</v>
      </c>
      <c r="B390" s="4" t="n">
        <v>9</v>
      </c>
      <c r="C390" s="4" t="inlineStr">
        <is>
          <t>单张</t>
        </is>
      </c>
      <c r="D390" s="4" t="inlineStr">
        <is>
          <t>玩1</t>
        </is>
      </c>
      <c r="E390" s="4" t="inlineStr">
        <is>
          <t>♥3</t>
        </is>
      </c>
      <c r="F390" s="4" t="inlineStr">
        <is>
          <t>♦K</t>
        </is>
      </c>
      <c r="G390" s="4" t="inlineStr">
        <is>
          <t>♠Q</t>
        </is>
      </c>
      <c r="H390" s="4" t="inlineStr">
        <is>
          <t>♥Q</t>
        </is>
      </c>
      <c r="I390" s="4" t="inlineStr">
        <is>
          <t>玩1</t>
        </is>
      </c>
      <c r="J390" s="4" t="n">
        <v>10</v>
      </c>
      <c r="K390" s="4" t="inlineStr">
        <is>
          <t>抓分方</t>
        </is>
      </c>
    </row>
    <row r="391">
      <c r="A391" s="4" t="n">
        <v>42</v>
      </c>
      <c r="B391" s="4" t="n">
        <v>10</v>
      </c>
      <c r="C391" s="4" t="inlineStr">
        <is>
          <t>单张</t>
        </is>
      </c>
      <c r="D391" s="4" t="inlineStr">
        <is>
          <t>玩1</t>
        </is>
      </c>
      <c r="E391" s="4" t="inlineStr">
        <is>
          <t>无</t>
        </is>
      </c>
      <c r="F391" s="4" t="inlineStr">
        <is>
          <t>无</t>
        </is>
      </c>
      <c r="G391" s="4" t="inlineStr">
        <is>
          <t>无</t>
        </is>
      </c>
      <c r="H391" s="4" t="inlineStr">
        <is>
          <t>♥A</t>
        </is>
      </c>
      <c r="I391" s="4" t="inlineStr">
        <is>
          <t>玩4</t>
        </is>
      </c>
      <c r="J391" s="4" t="n">
        <v>0</v>
      </c>
      <c r="K391" s="4" t="inlineStr">
        <is>
          <t>庄家方</t>
        </is>
      </c>
    </row>
    <row r="392">
      <c r="A392" s="4" t="n">
        <v>43</v>
      </c>
      <c r="B392" s="4" t="n">
        <v>1</v>
      </c>
      <c r="C392" s="4" t="inlineStr">
        <is>
          <t>对子</t>
        </is>
      </c>
      <c r="D392" s="4" t="inlineStr">
        <is>
          <t>玩3</t>
        </is>
      </c>
      <c r="E392" s="4" t="inlineStr">
        <is>
          <t>♣3 ♣A</t>
        </is>
      </c>
      <c r="F392" s="4" t="inlineStr">
        <is>
          <t>♣4 ♣8</t>
        </is>
      </c>
      <c r="G392" s="4" t="inlineStr">
        <is>
          <t>♣7 ♠7</t>
        </is>
      </c>
      <c r="H392" s="4" t="inlineStr">
        <is>
          <t>♣10 ♣K</t>
        </is>
      </c>
      <c r="I392" s="4" t="inlineStr">
        <is>
          <t>玩1</t>
        </is>
      </c>
      <c r="J392" s="4" t="n">
        <v>20</v>
      </c>
      <c r="K392" s="4" t="inlineStr">
        <is>
          <t>庄家方</t>
        </is>
      </c>
    </row>
    <row r="393">
      <c r="A393" s="4" t="n">
        <v>43</v>
      </c>
      <c r="B393" s="4" t="n">
        <v>2</v>
      </c>
      <c r="C393" s="4" t="inlineStr">
        <is>
          <t>对子</t>
        </is>
      </c>
      <c r="D393" s="4" t="inlineStr">
        <is>
          <t>玩1</t>
        </is>
      </c>
      <c r="E393" s="4" t="inlineStr">
        <is>
          <t>♦J ♠J</t>
        </is>
      </c>
      <c r="F393" s="4" t="inlineStr">
        <is>
          <t>♠3 ♠5</t>
        </is>
      </c>
      <c r="G393" s="4" t="inlineStr">
        <is>
          <t>♦4 ♦5</t>
        </is>
      </c>
      <c r="H393" s="4" t="inlineStr">
        <is>
          <t>♦6 ♦9</t>
        </is>
      </c>
      <c r="I393" s="4" t="inlineStr">
        <is>
          <t>玩1</t>
        </is>
      </c>
      <c r="J393" s="4" t="n">
        <v>10</v>
      </c>
      <c r="K393" s="4" t="inlineStr">
        <is>
          <t>庄家方</t>
        </is>
      </c>
    </row>
    <row r="394">
      <c r="A394" s="4" t="n">
        <v>43</v>
      </c>
      <c r="B394" s="4" t="n">
        <v>3</v>
      </c>
      <c r="C394" s="4" t="inlineStr">
        <is>
          <t>对子</t>
        </is>
      </c>
      <c r="D394" s="4" t="inlineStr">
        <is>
          <t>玩1</t>
        </is>
      </c>
      <c r="E394" s="4" t="inlineStr">
        <is>
          <t>♦2 ♥2</t>
        </is>
      </c>
      <c r="F394" s="4" t="inlineStr">
        <is>
          <t>♠6 ♠8</t>
        </is>
      </c>
      <c r="G394" s="4" t="inlineStr">
        <is>
          <t>♣5 ♣6</t>
        </is>
      </c>
      <c r="H394" s="4" t="inlineStr">
        <is>
          <t>♥5 ♥6</t>
        </is>
      </c>
      <c r="I394" s="4" t="inlineStr">
        <is>
          <t>玩1</t>
        </is>
      </c>
      <c r="J394" s="4" t="n">
        <v>10</v>
      </c>
      <c r="K394" s="4" t="inlineStr">
        <is>
          <t>庄家方</t>
        </is>
      </c>
    </row>
    <row r="395">
      <c r="A395" s="4" t="n">
        <v>43</v>
      </c>
      <c r="B395" s="4" t="n">
        <v>4</v>
      </c>
      <c r="C395" s="4" t="inlineStr">
        <is>
          <t>单张</t>
        </is>
      </c>
      <c r="D395" s="4" t="inlineStr">
        <is>
          <t>玩1</t>
        </is>
      </c>
      <c r="E395" s="4" t="inlineStr">
        <is>
          <t>♥7</t>
        </is>
      </c>
      <c r="F395" s="4" t="inlineStr">
        <is>
          <t>♥3</t>
        </is>
      </c>
      <c r="G395" s="4" t="inlineStr">
        <is>
          <t>♦8</t>
        </is>
      </c>
      <c r="H395" s="4" t="inlineStr">
        <is>
          <t>♥8</t>
        </is>
      </c>
      <c r="I395" s="4" t="inlineStr">
        <is>
          <t>玩2</t>
        </is>
      </c>
      <c r="J395" s="4" t="n">
        <v>0</v>
      </c>
      <c r="K395" s="4" t="inlineStr">
        <is>
          <t>抓分方</t>
        </is>
      </c>
    </row>
    <row r="396">
      <c r="A396" s="4" t="n">
        <v>43</v>
      </c>
      <c r="B396" s="4" t="n">
        <v>5</v>
      </c>
      <c r="C396" s="4" t="inlineStr">
        <is>
          <t>对子</t>
        </is>
      </c>
      <c r="D396" s="4" t="inlineStr">
        <is>
          <t>玩2</t>
        </is>
      </c>
      <c r="E396" s="4" t="inlineStr">
        <is>
          <t>♥10 ♥Q</t>
        </is>
      </c>
      <c r="F396" s="4" t="inlineStr">
        <is>
          <t>♥A ♠A</t>
        </is>
      </c>
      <c r="G396" s="4" t="inlineStr">
        <is>
          <t>♠9 ♣Q</t>
        </is>
      </c>
      <c r="H396" s="4" t="inlineStr">
        <is>
          <t>♥9 ♥J</t>
        </is>
      </c>
      <c r="I396" s="4" t="inlineStr">
        <is>
          <t>玩2</t>
        </is>
      </c>
      <c r="J396" s="4" t="n">
        <v>10</v>
      </c>
      <c r="K396" s="4" t="inlineStr">
        <is>
          <t>抓分方</t>
        </is>
      </c>
    </row>
    <row r="397">
      <c r="A397" s="4" t="n">
        <v>43</v>
      </c>
      <c r="B397" s="4" t="n">
        <v>6</v>
      </c>
      <c r="C397" s="4" t="inlineStr">
        <is>
          <t>单张</t>
        </is>
      </c>
      <c r="D397" s="4" t="inlineStr">
        <is>
          <t>玩2</t>
        </is>
      </c>
      <c r="E397" s="4" t="inlineStr">
        <is>
          <t>♦10</t>
        </is>
      </c>
      <c r="F397" s="4" t="inlineStr">
        <is>
          <t>♣9</t>
        </is>
      </c>
      <c r="G397" s="4" t="inlineStr">
        <is>
          <t>♣2</t>
        </is>
      </c>
      <c r="H397" s="4" t="inlineStr">
        <is>
          <t>♠Q</t>
        </is>
      </c>
      <c r="I397" s="4" t="inlineStr">
        <is>
          <t>玩3</t>
        </is>
      </c>
      <c r="J397" s="4" t="n">
        <v>10</v>
      </c>
      <c r="K397" s="4" t="inlineStr">
        <is>
          <t>庄家方</t>
        </is>
      </c>
    </row>
    <row r="398">
      <c r="A398" s="4" t="n">
        <v>43</v>
      </c>
      <c r="B398" s="4" t="n">
        <v>7</v>
      </c>
      <c r="C398" s="4" t="inlineStr">
        <is>
          <t>单张</t>
        </is>
      </c>
      <c r="D398" s="4" t="inlineStr">
        <is>
          <t>玩3</t>
        </is>
      </c>
      <c r="E398" s="4" t="inlineStr">
        <is>
          <t>♠K</t>
        </is>
      </c>
      <c r="F398" s="4" t="inlineStr">
        <is>
          <t>♠10</t>
        </is>
      </c>
      <c r="G398" s="4" t="inlineStr">
        <is>
          <t>小王</t>
        </is>
      </c>
      <c r="H398" s="4" t="inlineStr">
        <is>
          <t>♦A</t>
        </is>
      </c>
      <c r="I398" s="4" t="inlineStr">
        <is>
          <t>玩3</t>
        </is>
      </c>
      <c r="J398" s="4" t="n">
        <v>20</v>
      </c>
      <c r="K398" s="4" t="inlineStr">
        <is>
          <t>庄家方</t>
        </is>
      </c>
    </row>
    <row r="399">
      <c r="A399" s="4" t="n">
        <v>43</v>
      </c>
      <c r="B399" s="4" t="n">
        <v>8</v>
      </c>
      <c r="C399" s="4" t="inlineStr">
        <is>
          <t>单张</t>
        </is>
      </c>
      <c r="D399" s="4" t="inlineStr">
        <is>
          <t>玩3</t>
        </is>
      </c>
      <c r="E399" s="4" t="inlineStr">
        <is>
          <t>♥K</t>
        </is>
      </c>
      <c r="F399" s="4" t="inlineStr">
        <is>
          <t>♦K</t>
        </is>
      </c>
      <c r="G399" s="4" t="inlineStr">
        <is>
          <t>大王</t>
        </is>
      </c>
      <c r="H399" s="4" t="inlineStr">
        <is>
          <t>♠2</t>
        </is>
      </c>
      <c r="I399" s="4" t="inlineStr">
        <is>
          <t>玩4</t>
        </is>
      </c>
      <c r="J399" s="4" t="n">
        <v>20</v>
      </c>
      <c r="K399" s="4" t="inlineStr">
        <is>
          <t>抓分方</t>
        </is>
      </c>
    </row>
    <row r="400">
      <c r="A400" s="4" t="n">
        <v>44</v>
      </c>
      <c r="B400" s="4" t="n">
        <v>1</v>
      </c>
      <c r="C400" s="4" t="inlineStr">
        <is>
          <t>对子</t>
        </is>
      </c>
      <c r="D400" s="4" t="inlineStr">
        <is>
          <t>玩4</t>
        </is>
      </c>
      <c r="E400" s="4" t="inlineStr">
        <is>
          <t>♣3 ♣A</t>
        </is>
      </c>
      <c r="F400" s="4" t="inlineStr">
        <is>
          <t>♣2 ♣J</t>
        </is>
      </c>
      <c r="G400" s="4" t="inlineStr">
        <is>
          <t>♥4 ♠6</t>
        </is>
      </c>
      <c r="H400" s="4" t="inlineStr">
        <is>
          <t>♣9 ♠9</t>
        </is>
      </c>
      <c r="I400" s="4" t="inlineStr">
        <is>
          <t>玩2</t>
        </is>
      </c>
      <c r="J400" s="4" t="n">
        <v>0</v>
      </c>
      <c r="K400" s="4" t="inlineStr">
        <is>
          <t>庄家方</t>
        </is>
      </c>
    </row>
    <row r="401">
      <c r="A401" s="4" t="n">
        <v>44</v>
      </c>
      <c r="B401" s="4" t="n">
        <v>2</v>
      </c>
      <c r="C401" s="4" t="inlineStr">
        <is>
          <t>对子</t>
        </is>
      </c>
      <c r="D401" s="4" t="inlineStr">
        <is>
          <t>玩2</t>
        </is>
      </c>
      <c r="E401" s="4" t="inlineStr">
        <is>
          <t>♠4 ♠J</t>
        </is>
      </c>
      <c r="F401" s="4" t="inlineStr">
        <is>
          <t>♠3 ♥3</t>
        </is>
      </c>
      <c r="G401" s="4" t="inlineStr">
        <is>
          <t>♠2 ♠7</t>
        </is>
      </c>
      <c r="H401" s="4" t="inlineStr">
        <is>
          <t>♣5 ♦10</t>
        </is>
      </c>
      <c r="I401" s="4" t="inlineStr">
        <is>
          <t>玩2</t>
        </is>
      </c>
      <c r="J401" s="4" t="n">
        <v>15</v>
      </c>
      <c r="K401" s="4" t="inlineStr">
        <is>
          <t>庄家方</t>
        </is>
      </c>
    </row>
    <row r="402">
      <c r="A402" s="4" t="n">
        <v>44</v>
      </c>
      <c r="B402" s="4" t="n">
        <v>3</v>
      </c>
      <c r="C402" s="4" t="inlineStr">
        <is>
          <t>单张</t>
        </is>
      </c>
      <c r="D402" s="4" t="inlineStr">
        <is>
          <t>玩2</t>
        </is>
      </c>
      <c r="E402" s="4" t="inlineStr">
        <is>
          <t>♦3</t>
        </is>
      </c>
      <c r="F402" s="4" t="inlineStr">
        <is>
          <t>♦4</t>
        </is>
      </c>
      <c r="G402" s="4" t="inlineStr">
        <is>
          <t>♦6</t>
        </is>
      </c>
      <c r="H402" s="4" t="inlineStr">
        <is>
          <t>♦J</t>
        </is>
      </c>
      <c r="I402" s="4" t="inlineStr">
        <is>
          <t>玩4</t>
        </is>
      </c>
      <c r="J402" s="4" t="n">
        <v>0</v>
      </c>
      <c r="K402" s="4" t="inlineStr">
        <is>
          <t>庄家方</t>
        </is>
      </c>
    </row>
    <row r="403">
      <c r="A403" s="4" t="n">
        <v>44</v>
      </c>
      <c r="B403" s="4" t="n">
        <v>4</v>
      </c>
      <c r="C403" s="4" t="inlineStr">
        <is>
          <t>对子</t>
        </is>
      </c>
      <c r="D403" s="4" t="inlineStr">
        <is>
          <t>玩4</t>
        </is>
      </c>
      <c r="E403" s="4" t="inlineStr">
        <is>
          <t>♦5 ♥6</t>
        </is>
      </c>
      <c r="F403" s="4" t="inlineStr">
        <is>
          <t>♦2 小王</t>
        </is>
      </c>
      <c r="G403" s="4" t="inlineStr">
        <is>
          <t>大王</t>
        </is>
      </c>
      <c r="H403" s="4" t="inlineStr">
        <is>
          <t>♣Q ♦Q</t>
        </is>
      </c>
      <c r="I403" s="4" t="inlineStr">
        <is>
          <t>玩3</t>
        </is>
      </c>
      <c r="J403" s="4" t="n">
        <v>5</v>
      </c>
      <c r="K403" s="4" t="inlineStr">
        <is>
          <t>抓分方</t>
        </is>
      </c>
    </row>
    <row r="404">
      <c r="A404" s="4" t="n">
        <v>44</v>
      </c>
      <c r="B404" s="4" t="n">
        <v>5</v>
      </c>
      <c r="C404" s="4" t="inlineStr">
        <is>
          <t>单张</t>
        </is>
      </c>
      <c r="D404" s="4" t="inlineStr">
        <is>
          <t>玩3</t>
        </is>
      </c>
      <c r="E404" s="4" t="inlineStr">
        <is>
          <t>♦8</t>
        </is>
      </c>
      <c r="F404" s="4" t="inlineStr">
        <is>
          <t>♣K</t>
        </is>
      </c>
      <c r="G404" s="4" t="inlineStr">
        <is>
          <t>♣6</t>
        </is>
      </c>
      <c r="H404" s="4" t="inlineStr">
        <is>
          <t>♣10</t>
        </is>
      </c>
      <c r="I404" s="4" t="inlineStr">
        <is>
          <t>玩2</t>
        </is>
      </c>
      <c r="J404" s="4" t="n">
        <v>20</v>
      </c>
      <c r="K404" s="4" t="inlineStr">
        <is>
          <t>庄家方</t>
        </is>
      </c>
    </row>
    <row r="405">
      <c r="A405" s="4" t="n">
        <v>44</v>
      </c>
      <c r="B405" s="4" t="n">
        <v>6</v>
      </c>
      <c r="C405" s="4" t="inlineStr">
        <is>
          <t>单张</t>
        </is>
      </c>
      <c r="D405" s="4" t="inlineStr">
        <is>
          <t>玩2</t>
        </is>
      </c>
      <c r="E405" s="4" t="inlineStr">
        <is>
          <t>♦9</t>
        </is>
      </c>
      <c r="F405" s="4" t="inlineStr">
        <is>
          <t>♠8</t>
        </is>
      </c>
      <c r="G405" s="4" t="inlineStr">
        <is>
          <t>♠Q</t>
        </is>
      </c>
      <c r="H405" s="4" t="inlineStr">
        <is>
          <t>♠10</t>
        </is>
      </c>
      <c r="I405" s="4" t="inlineStr">
        <is>
          <t>玩3</t>
        </is>
      </c>
      <c r="J405" s="4" t="n">
        <v>10</v>
      </c>
      <c r="K405" s="4" t="inlineStr">
        <is>
          <t>抓分方</t>
        </is>
      </c>
    </row>
    <row r="406">
      <c r="A406" s="4" t="n">
        <v>44</v>
      </c>
      <c r="B406" s="4" t="n">
        <v>7</v>
      </c>
      <c r="C406" s="4" t="inlineStr">
        <is>
          <t>单张</t>
        </is>
      </c>
      <c r="D406" s="4" t="inlineStr">
        <is>
          <t>玩3</t>
        </is>
      </c>
      <c r="E406" s="4" t="inlineStr">
        <is>
          <t>♦K</t>
        </is>
      </c>
      <c r="F406" s="4" t="inlineStr">
        <is>
          <t>♥5</t>
        </is>
      </c>
      <c r="G406" s="4" t="inlineStr">
        <is>
          <t>♦7</t>
        </is>
      </c>
      <c r="H406" s="4" t="inlineStr">
        <is>
          <t>♥Q</t>
        </is>
      </c>
      <c r="I406" s="4" t="inlineStr">
        <is>
          <t>玩1</t>
        </is>
      </c>
      <c r="J406" s="4" t="n">
        <v>15</v>
      </c>
      <c r="K406" s="4" t="inlineStr">
        <is>
          <t>抓分方</t>
        </is>
      </c>
    </row>
    <row r="407">
      <c r="A407" s="4" t="n">
        <v>44</v>
      </c>
      <c r="B407" s="4" t="n">
        <v>8</v>
      </c>
      <c r="C407" s="4" t="inlineStr">
        <is>
          <t>单张</t>
        </is>
      </c>
      <c r="D407" s="4" t="inlineStr">
        <is>
          <t>玩1</t>
        </is>
      </c>
      <c r="E407" s="4" t="inlineStr">
        <is>
          <t>♥9</t>
        </is>
      </c>
      <c r="F407" s="4" t="inlineStr">
        <is>
          <t>♠5</t>
        </is>
      </c>
      <c r="G407" s="4" t="inlineStr">
        <is>
          <t>♥10</t>
        </is>
      </c>
      <c r="H407" s="4" t="inlineStr">
        <is>
          <t>♥A</t>
        </is>
      </c>
      <c r="I407" s="4" t="inlineStr">
        <is>
          <t>玩4</t>
        </is>
      </c>
      <c r="J407" s="4" t="n">
        <v>15</v>
      </c>
      <c r="K407" s="4" t="inlineStr">
        <is>
          <t>庄家方</t>
        </is>
      </c>
    </row>
    <row r="408">
      <c r="A408" s="4" t="n">
        <v>44</v>
      </c>
      <c r="B408" s="4" t="n">
        <v>9</v>
      </c>
      <c r="C408" s="4" t="inlineStr">
        <is>
          <t>单张</t>
        </is>
      </c>
      <c r="D408" s="4" t="inlineStr">
        <is>
          <t>玩4</t>
        </is>
      </c>
      <c r="E408" s="4" t="inlineStr">
        <is>
          <t>♥J</t>
        </is>
      </c>
      <c r="F408" s="4" t="inlineStr">
        <is>
          <t>♠K</t>
        </is>
      </c>
      <c r="G408" s="4" t="inlineStr">
        <is>
          <t>♥8</t>
        </is>
      </c>
      <c r="H408" s="4" t="inlineStr">
        <is>
          <t>♥2</t>
        </is>
      </c>
      <c r="I408" s="4" t="inlineStr">
        <is>
          <t>玩4</t>
        </is>
      </c>
      <c r="J408" s="4" t="n">
        <v>10</v>
      </c>
      <c r="K408" s="4" t="inlineStr">
        <is>
          <t>庄家方</t>
        </is>
      </c>
    </row>
    <row r="409">
      <c r="A409" s="4" t="n">
        <v>44</v>
      </c>
      <c r="B409" s="4" t="n">
        <v>10</v>
      </c>
      <c r="C409" s="4" t="inlineStr">
        <is>
          <t>单张</t>
        </is>
      </c>
      <c r="D409" s="4" t="inlineStr">
        <is>
          <t>玩4</t>
        </is>
      </c>
      <c r="E409" s="4" t="inlineStr">
        <is>
          <t>无</t>
        </is>
      </c>
      <c r="F409" s="4" t="inlineStr">
        <is>
          <t>无</t>
        </is>
      </c>
      <c r="G409" s="4" t="inlineStr">
        <is>
          <t>♠A</t>
        </is>
      </c>
      <c r="H409" s="4" t="inlineStr">
        <is>
          <t>无</t>
        </is>
      </c>
      <c r="I409" s="4" t="inlineStr">
        <is>
          <t>玩3</t>
        </is>
      </c>
      <c r="J409" s="4" t="n">
        <v>0</v>
      </c>
      <c r="K409" s="4" t="inlineStr">
        <is>
          <t>抓分方</t>
        </is>
      </c>
    </row>
    <row r="410">
      <c r="A410" s="4" t="n">
        <v>45</v>
      </c>
      <c r="B410" s="4" t="n">
        <v>1</v>
      </c>
      <c r="C410" s="4" t="inlineStr">
        <is>
          <t>对子</t>
        </is>
      </c>
      <c r="D410" s="4" t="inlineStr">
        <is>
          <t>玩1</t>
        </is>
      </c>
      <c r="E410" s="4" t="inlineStr">
        <is>
          <t>♦A ♣A</t>
        </is>
      </c>
      <c r="F410" s="4" t="inlineStr">
        <is>
          <t>♦6 ♦8</t>
        </is>
      </c>
      <c r="G410" s="4" t="inlineStr">
        <is>
          <t>♣3 ♠3</t>
        </is>
      </c>
      <c r="H410" s="4" t="inlineStr">
        <is>
          <t>♦2 ♦5</t>
        </is>
      </c>
      <c r="I410" s="4" t="inlineStr">
        <is>
          <t>玩4</t>
        </is>
      </c>
      <c r="J410" s="4" t="n">
        <v>5</v>
      </c>
      <c r="K410" s="4" t="inlineStr">
        <is>
          <t>抓分方</t>
        </is>
      </c>
    </row>
    <row r="411">
      <c r="A411" s="4" t="n">
        <v>45</v>
      </c>
      <c r="B411" s="4" t="n">
        <v>2</v>
      </c>
      <c r="C411" s="4" t="inlineStr">
        <is>
          <t>对子</t>
        </is>
      </c>
      <c r="D411" s="4" t="inlineStr">
        <is>
          <t>玩4</t>
        </is>
      </c>
      <c r="E411" s="4" t="inlineStr">
        <is>
          <t>♥3 ♥10</t>
        </is>
      </c>
      <c r="F411" s="4" t="inlineStr">
        <is>
          <t>♥9 ♥A</t>
        </is>
      </c>
      <c r="G411" s="4" t="inlineStr">
        <is>
          <t>♥2 ♥5</t>
        </is>
      </c>
      <c r="H411" s="4" t="inlineStr">
        <is>
          <t>♥6 ♠6</t>
        </is>
      </c>
      <c r="I411" s="4" t="inlineStr">
        <is>
          <t>玩1</t>
        </is>
      </c>
      <c r="J411" s="4" t="n">
        <v>15</v>
      </c>
      <c r="K411" s="4" t="inlineStr">
        <is>
          <t>庄家方</t>
        </is>
      </c>
    </row>
    <row r="412">
      <c r="A412" s="4" t="n">
        <v>45</v>
      </c>
      <c r="B412" s="4" t="n">
        <v>3</v>
      </c>
      <c r="C412" s="4" t="inlineStr">
        <is>
          <t>对子</t>
        </is>
      </c>
      <c r="D412" s="4" t="inlineStr">
        <is>
          <t>玩1</t>
        </is>
      </c>
      <c r="E412" s="4" t="inlineStr">
        <is>
          <t>♠9 ♣9</t>
        </is>
      </c>
      <c r="F412" s="4" t="inlineStr">
        <is>
          <t>♠2 ♠4</t>
        </is>
      </c>
      <c r="G412" s="4" t="inlineStr">
        <is>
          <t>♠7 ♠J</t>
        </is>
      </c>
      <c r="H412" s="4" t="inlineStr">
        <is>
          <t>♠8 ♠Q</t>
        </is>
      </c>
      <c r="I412" s="4" t="inlineStr">
        <is>
          <t>玩2</t>
        </is>
      </c>
      <c r="J412" s="4" t="n">
        <v>0</v>
      </c>
      <c r="K412" s="4" t="inlineStr">
        <is>
          <t>抓分方</t>
        </is>
      </c>
    </row>
    <row r="413">
      <c r="A413" s="4" t="n">
        <v>45</v>
      </c>
      <c r="B413" s="4" t="n">
        <v>4</v>
      </c>
      <c r="C413" s="4" t="inlineStr">
        <is>
          <t>单张</t>
        </is>
      </c>
      <c r="D413" s="4" t="inlineStr">
        <is>
          <t>玩2</t>
        </is>
      </c>
      <c r="E413" s="4" t="inlineStr">
        <is>
          <t>♣10</t>
        </is>
      </c>
      <c r="F413" s="4" t="inlineStr">
        <is>
          <t>♣6</t>
        </is>
      </c>
      <c r="G413" s="4" t="inlineStr">
        <is>
          <t>♣4</t>
        </is>
      </c>
      <c r="H413" s="4" t="inlineStr">
        <is>
          <t>♣2</t>
        </is>
      </c>
      <c r="I413" s="4" t="inlineStr">
        <is>
          <t>玩4</t>
        </is>
      </c>
      <c r="J413" s="4" t="n">
        <v>10</v>
      </c>
      <c r="K413" s="4" t="inlineStr">
        <is>
          <t>抓分方</t>
        </is>
      </c>
    </row>
    <row r="414">
      <c r="A414" s="4" t="n">
        <v>45</v>
      </c>
      <c r="B414" s="4" t="n">
        <v>5</v>
      </c>
      <c r="C414" s="4" t="inlineStr">
        <is>
          <t>单张</t>
        </is>
      </c>
      <c r="D414" s="4" t="inlineStr">
        <is>
          <t>玩4</t>
        </is>
      </c>
      <c r="E414" s="4" t="inlineStr">
        <is>
          <t>♥J</t>
        </is>
      </c>
      <c r="F414" s="4" t="inlineStr">
        <is>
          <t>♣5</t>
        </is>
      </c>
      <c r="G414" s="4" t="inlineStr">
        <is>
          <t>♥Q</t>
        </is>
      </c>
      <c r="H414" s="4" t="inlineStr">
        <is>
          <t>♥4</t>
        </is>
      </c>
      <c r="I414" s="4" t="inlineStr">
        <is>
          <t>玩3</t>
        </is>
      </c>
      <c r="J414" s="4" t="n">
        <v>5</v>
      </c>
      <c r="K414" s="4" t="inlineStr">
        <is>
          <t>庄家方</t>
        </is>
      </c>
    </row>
    <row r="415">
      <c r="A415" s="4" t="n">
        <v>45</v>
      </c>
      <c r="B415" s="4" t="n">
        <v>6</v>
      </c>
      <c r="C415" s="4" t="inlineStr">
        <is>
          <t>对子</t>
        </is>
      </c>
      <c r="D415" s="4" t="inlineStr">
        <is>
          <t>玩3</t>
        </is>
      </c>
      <c r="E415" s="4" t="inlineStr">
        <is>
          <t>♦10 ♠10</t>
        </is>
      </c>
      <c r="F415" s="4" t="inlineStr">
        <is>
          <t>♣J ♣Q</t>
        </is>
      </c>
      <c r="G415" s="4" t="inlineStr">
        <is>
          <t>♣7 ♥7</t>
        </is>
      </c>
      <c r="H415" s="4" t="inlineStr">
        <is>
          <t>♦7 ♦J</t>
        </is>
      </c>
      <c r="I415" s="4" t="inlineStr">
        <is>
          <t>玩2</t>
        </is>
      </c>
      <c r="J415" s="4" t="n">
        <v>20</v>
      </c>
      <c r="K415" s="4" t="inlineStr">
        <is>
          <t>抓分方</t>
        </is>
      </c>
    </row>
    <row r="416">
      <c r="A416" s="4" t="n">
        <v>45</v>
      </c>
      <c r="B416" s="4" t="n">
        <v>7</v>
      </c>
      <c r="C416" s="4" t="inlineStr">
        <is>
          <t>单张</t>
        </is>
      </c>
      <c r="D416" s="4" t="inlineStr">
        <is>
          <t>玩2</t>
        </is>
      </c>
      <c r="E416" s="4" t="inlineStr">
        <is>
          <t>♦K</t>
        </is>
      </c>
      <c r="F416" s="4" t="inlineStr">
        <is>
          <t>♠A</t>
        </is>
      </c>
      <c r="G416" s="4" t="inlineStr">
        <is>
          <t>♦4</t>
        </is>
      </c>
      <c r="H416" s="4" t="inlineStr">
        <is>
          <t>♠K</t>
        </is>
      </c>
      <c r="I416" s="4" t="inlineStr">
        <is>
          <t>玩2</t>
        </is>
      </c>
      <c r="J416" s="4" t="n">
        <v>20</v>
      </c>
      <c r="K416" s="4" t="inlineStr">
        <is>
          <t>抓分方</t>
        </is>
      </c>
    </row>
    <row r="417">
      <c r="A417" s="4" t="n">
        <v>45</v>
      </c>
      <c r="B417" s="4" t="n">
        <v>8</v>
      </c>
      <c r="C417" s="4" t="inlineStr">
        <is>
          <t>单张</t>
        </is>
      </c>
      <c r="D417" s="4" t="inlineStr">
        <is>
          <t>玩2</t>
        </is>
      </c>
      <c r="E417" s="4" t="inlineStr">
        <is>
          <t>♥K</t>
        </is>
      </c>
      <c r="F417" s="4" t="inlineStr">
        <is>
          <t>小王</t>
        </is>
      </c>
      <c r="G417" s="4" t="inlineStr">
        <is>
          <t>大王</t>
        </is>
      </c>
      <c r="H417" s="4" t="inlineStr">
        <is>
          <t>♣K</t>
        </is>
      </c>
      <c r="I417" s="4" t="inlineStr">
        <is>
          <t>玩3</t>
        </is>
      </c>
      <c r="J417" s="4" t="n">
        <v>20</v>
      </c>
      <c r="K417" s="4" t="inlineStr">
        <is>
          <t>庄家方</t>
        </is>
      </c>
    </row>
    <row r="418">
      <c r="A418" s="4" t="n">
        <v>46</v>
      </c>
      <c r="B418" s="4" t="n">
        <v>1</v>
      </c>
      <c r="C418" s="4" t="inlineStr">
        <is>
          <t>对子</t>
        </is>
      </c>
      <c r="D418" s="4" t="inlineStr">
        <is>
          <t>玩2</t>
        </is>
      </c>
      <c r="E418" s="4" t="inlineStr">
        <is>
          <t>♥6 ♥9</t>
        </is>
      </c>
      <c r="F418" s="4" t="inlineStr">
        <is>
          <t>♥8 ♣8</t>
        </is>
      </c>
      <c r="G418" s="4" t="inlineStr">
        <is>
          <t>♥2 ♥3</t>
        </is>
      </c>
      <c r="H418" s="4" t="inlineStr">
        <is>
          <t>♣3 ♦3</t>
        </is>
      </c>
      <c r="I418" s="4" t="inlineStr">
        <is>
          <t>玩3</t>
        </is>
      </c>
      <c r="J418" s="4" t="n">
        <v>0</v>
      </c>
      <c r="K418" s="4" t="inlineStr">
        <is>
          <t>抓分方</t>
        </is>
      </c>
    </row>
    <row r="419">
      <c r="A419" s="4" t="n">
        <v>46</v>
      </c>
      <c r="B419" s="4" t="n">
        <v>2</v>
      </c>
      <c r="C419" s="4" t="inlineStr">
        <is>
          <t>对子</t>
        </is>
      </c>
      <c r="D419" s="4" t="inlineStr">
        <is>
          <t>玩3</t>
        </is>
      </c>
      <c r="E419" s="4" t="inlineStr">
        <is>
          <t>♠3 ♠4</t>
        </is>
      </c>
      <c r="F419" s="4" t="inlineStr">
        <is>
          <t>♠2 ♠10</t>
        </is>
      </c>
      <c r="G419" s="4" t="inlineStr">
        <is>
          <t>♠Q ♦Q</t>
        </is>
      </c>
      <c r="H419" s="4" t="inlineStr">
        <is>
          <t>♠5 ♠9</t>
        </is>
      </c>
      <c r="I419" s="4" t="inlineStr">
        <is>
          <t>玩2</t>
        </is>
      </c>
      <c r="J419" s="4" t="n">
        <v>15</v>
      </c>
      <c r="K419" s="4" t="inlineStr">
        <is>
          <t>庄家方</t>
        </is>
      </c>
    </row>
    <row r="420">
      <c r="A420" s="4" t="n">
        <v>46</v>
      </c>
      <c r="B420" s="4" t="n">
        <v>3</v>
      </c>
      <c r="C420" s="4" t="inlineStr">
        <is>
          <t>对子</t>
        </is>
      </c>
      <c r="D420" s="4" t="inlineStr">
        <is>
          <t>玩2</t>
        </is>
      </c>
      <c r="E420" s="4" t="inlineStr">
        <is>
          <t>小王</t>
        </is>
      </c>
      <c r="F420" s="4" t="inlineStr">
        <is>
          <t>♣2 ♦2</t>
        </is>
      </c>
      <c r="G420" s="4" t="inlineStr">
        <is>
          <t>♥5 ♦5</t>
        </is>
      </c>
      <c r="H420" s="4" t="inlineStr">
        <is>
          <t>♣6 ♣7</t>
        </is>
      </c>
      <c r="I420" s="4" t="inlineStr">
        <is>
          <t>玩1</t>
        </is>
      </c>
      <c r="J420" s="4" t="n">
        <v>10</v>
      </c>
      <c r="K420" s="4" t="inlineStr">
        <is>
          <t>抓分方</t>
        </is>
      </c>
    </row>
    <row r="421">
      <c r="A421" s="4" t="n">
        <v>46</v>
      </c>
      <c r="B421" s="4" t="n">
        <v>4</v>
      </c>
      <c r="C421" s="4" t="inlineStr">
        <is>
          <t>对子</t>
        </is>
      </c>
      <c r="D421" s="4" t="inlineStr">
        <is>
          <t>玩1</t>
        </is>
      </c>
      <c r="E421" s="4" t="inlineStr">
        <is>
          <t>♦A ♣A</t>
        </is>
      </c>
      <c r="F421" s="4" t="inlineStr">
        <is>
          <t>♦6 ♦J</t>
        </is>
      </c>
      <c r="G421" s="4" t="inlineStr">
        <is>
          <t>♦8 ♦10</t>
        </is>
      </c>
      <c r="H421" s="4" t="inlineStr">
        <is>
          <t>♦4 ♦7</t>
        </is>
      </c>
      <c r="I421" s="4" t="inlineStr">
        <is>
          <t>玩1</t>
        </is>
      </c>
      <c r="J421" s="4" t="n">
        <v>10</v>
      </c>
      <c r="K421" s="4" t="inlineStr">
        <is>
          <t>抓分方</t>
        </is>
      </c>
    </row>
    <row r="422">
      <c r="A422" s="4" t="n">
        <v>46</v>
      </c>
      <c r="B422" s="4" t="n">
        <v>5</v>
      </c>
      <c r="C422" s="4" t="inlineStr">
        <is>
          <t>单张</t>
        </is>
      </c>
      <c r="D422" s="4" t="inlineStr">
        <is>
          <t>玩1</t>
        </is>
      </c>
      <c r="E422" s="4" t="inlineStr">
        <is>
          <t>♦9</t>
        </is>
      </c>
      <c r="F422" s="4" t="inlineStr">
        <is>
          <t>♣5</t>
        </is>
      </c>
      <c r="G422" s="4" t="inlineStr">
        <is>
          <t>大王</t>
        </is>
      </c>
      <c r="H422" s="4" t="inlineStr">
        <is>
          <t>♣9</t>
        </is>
      </c>
      <c r="I422" s="4" t="inlineStr">
        <is>
          <t>玩3</t>
        </is>
      </c>
      <c r="J422" s="4" t="n">
        <v>5</v>
      </c>
      <c r="K422" s="4" t="inlineStr">
        <is>
          <t>抓分方</t>
        </is>
      </c>
    </row>
    <row r="423">
      <c r="A423" s="4" t="n">
        <v>46</v>
      </c>
      <c r="B423" s="4" t="n">
        <v>6</v>
      </c>
      <c r="C423" s="4" t="inlineStr">
        <is>
          <t>单张</t>
        </is>
      </c>
      <c r="D423" s="4" t="inlineStr">
        <is>
          <t>玩3</t>
        </is>
      </c>
      <c r="E423" s="4" t="inlineStr">
        <is>
          <t>♥10</t>
        </is>
      </c>
      <c r="F423" s="4" t="inlineStr">
        <is>
          <t>♠K</t>
        </is>
      </c>
      <c r="G423" s="4" t="inlineStr">
        <is>
          <t>♠6</t>
        </is>
      </c>
      <c r="H423" s="4" t="inlineStr">
        <is>
          <t>♣10</t>
        </is>
      </c>
      <c r="I423" s="4" t="inlineStr">
        <is>
          <t>玩2</t>
        </is>
      </c>
      <c r="J423" s="4" t="n">
        <v>30</v>
      </c>
      <c r="K423" s="4" t="inlineStr">
        <is>
          <t>庄家方</t>
        </is>
      </c>
    </row>
    <row r="424">
      <c r="A424" s="4" t="n">
        <v>46</v>
      </c>
      <c r="B424" s="4" t="n">
        <v>7</v>
      </c>
      <c r="C424" s="4" t="inlineStr">
        <is>
          <t>单张</t>
        </is>
      </c>
      <c r="D424" s="4" t="inlineStr">
        <is>
          <t>玩2</t>
        </is>
      </c>
      <c r="E424" s="4" t="inlineStr">
        <is>
          <t>♥J</t>
        </is>
      </c>
      <c r="F424" s="4" t="inlineStr">
        <is>
          <t>♥7</t>
        </is>
      </c>
      <c r="G424" s="4" t="inlineStr">
        <is>
          <t>♣K</t>
        </is>
      </c>
      <c r="H424" s="4" t="inlineStr">
        <is>
          <t>♥A</t>
        </is>
      </c>
      <c r="I424" s="4" t="inlineStr">
        <is>
          <t>玩4</t>
        </is>
      </c>
      <c r="J424" s="4" t="n">
        <v>10</v>
      </c>
      <c r="K424" s="4" t="inlineStr">
        <is>
          <t>庄家方</t>
        </is>
      </c>
    </row>
    <row r="425">
      <c r="A425" s="4" t="n">
        <v>46</v>
      </c>
      <c r="B425" s="4" t="n">
        <v>8</v>
      </c>
      <c r="C425" s="4" t="inlineStr">
        <is>
          <t>单张</t>
        </is>
      </c>
      <c r="D425" s="4" t="inlineStr">
        <is>
          <t>玩4</t>
        </is>
      </c>
      <c r="E425" s="4" t="inlineStr">
        <is>
          <t>♦K</t>
        </is>
      </c>
      <c r="F425" s="4" t="inlineStr">
        <is>
          <t>♥Q</t>
        </is>
      </c>
      <c r="G425" s="4" t="inlineStr">
        <is>
          <t>♠A</t>
        </is>
      </c>
      <c r="H425" s="4" t="inlineStr">
        <is>
          <t>♣J</t>
        </is>
      </c>
      <c r="I425" s="4" t="inlineStr">
        <is>
          <t>玩4</t>
        </is>
      </c>
      <c r="J425" s="4" t="n">
        <v>10</v>
      </c>
      <c r="K425" s="4" t="inlineStr">
        <is>
          <t>庄家方</t>
        </is>
      </c>
    </row>
    <row r="426">
      <c r="A426" s="4" t="n">
        <v>46</v>
      </c>
      <c r="B426" s="4" t="n">
        <v>9</v>
      </c>
      <c r="C426" s="4" t="inlineStr">
        <is>
          <t>单张</t>
        </is>
      </c>
      <c r="D426" s="4" t="inlineStr">
        <is>
          <t>玩4</t>
        </is>
      </c>
      <c r="E426" s="4" t="inlineStr">
        <is>
          <t>♥K</t>
        </is>
      </c>
      <c r="F426" s="4" t="inlineStr">
        <is>
          <t>无</t>
        </is>
      </c>
      <c r="G426" s="4" t="inlineStr">
        <is>
          <t>无</t>
        </is>
      </c>
      <c r="H426" s="4" t="inlineStr">
        <is>
          <t>无</t>
        </is>
      </c>
      <c r="I426" s="4" t="inlineStr">
        <is>
          <t>玩1</t>
        </is>
      </c>
      <c r="J426" s="4" t="n">
        <v>10</v>
      </c>
      <c r="K426" s="4" t="inlineStr">
        <is>
          <t>抓分方</t>
        </is>
      </c>
    </row>
    <row r="427">
      <c r="A427" s="4" t="n">
        <v>47</v>
      </c>
      <c r="B427" s="4" t="n">
        <v>1</v>
      </c>
      <c r="C427" s="4" t="inlineStr">
        <is>
          <t>对子</t>
        </is>
      </c>
      <c r="D427" s="4" t="inlineStr">
        <is>
          <t>玩3</t>
        </is>
      </c>
      <c r="E427" s="4" t="inlineStr">
        <is>
          <t>♦2 ♦4</t>
        </is>
      </c>
      <c r="F427" s="4" t="inlineStr">
        <is>
          <t>♣3 ♣5</t>
        </is>
      </c>
      <c r="G427" s="4" t="inlineStr">
        <is>
          <t>♦9 ♠9</t>
        </is>
      </c>
      <c r="H427" s="4" t="inlineStr">
        <is>
          <t>♦3 ♦5</t>
        </is>
      </c>
      <c r="I427" s="4" t="inlineStr">
        <is>
          <t>玩1</t>
        </is>
      </c>
      <c r="J427" s="4" t="n">
        <v>10</v>
      </c>
      <c r="K427" s="4" t="inlineStr">
        <is>
          <t>庄家方</t>
        </is>
      </c>
    </row>
    <row r="428">
      <c r="A428" s="4" t="n">
        <v>47</v>
      </c>
      <c r="B428" s="4" t="n">
        <v>2</v>
      </c>
      <c r="C428" s="4" t="inlineStr">
        <is>
          <t>对子</t>
        </is>
      </c>
      <c r="D428" s="4" t="inlineStr">
        <is>
          <t>玩1</t>
        </is>
      </c>
      <c r="E428" s="4" t="inlineStr">
        <is>
          <t>♥7 ♦7</t>
        </is>
      </c>
      <c r="F428" s="4" t="inlineStr">
        <is>
          <t>♥6 ♥9</t>
        </is>
      </c>
      <c r="G428" s="4" t="inlineStr">
        <is>
          <t>♥2 ♥J</t>
        </is>
      </c>
      <c r="H428" s="4" t="inlineStr">
        <is>
          <t>♦6 ♣7</t>
        </is>
      </c>
      <c r="I428" s="4" t="inlineStr">
        <is>
          <t>玩3</t>
        </is>
      </c>
      <c r="J428" s="4" t="n">
        <v>0</v>
      </c>
      <c r="K428" s="4" t="inlineStr">
        <is>
          <t>庄家方</t>
        </is>
      </c>
    </row>
    <row r="429">
      <c r="A429" s="4" t="n">
        <v>47</v>
      </c>
      <c r="B429" s="4" t="n">
        <v>3</v>
      </c>
      <c r="C429" s="4" t="inlineStr">
        <is>
          <t>对子</t>
        </is>
      </c>
      <c r="D429" s="4" t="inlineStr">
        <is>
          <t>玩3</t>
        </is>
      </c>
      <c r="E429" s="4" t="inlineStr">
        <is>
          <t>♥3</t>
        </is>
      </c>
      <c r="F429" s="4" t="inlineStr">
        <is>
          <t>♠6 ♣8</t>
        </is>
      </c>
      <c r="G429" s="4" t="inlineStr">
        <is>
          <t>♦J ♠J</t>
        </is>
      </c>
      <c r="H429" s="4" t="inlineStr">
        <is>
          <t>♦10 ♦Q</t>
        </is>
      </c>
      <c r="I429" s="4" t="inlineStr">
        <is>
          <t>玩1</t>
        </is>
      </c>
      <c r="J429" s="4" t="n">
        <v>10</v>
      </c>
      <c r="K429" s="4" t="inlineStr">
        <is>
          <t>庄家方</t>
        </is>
      </c>
    </row>
    <row r="430">
      <c r="A430" s="4" t="n">
        <v>47</v>
      </c>
      <c r="B430" s="4" t="n">
        <v>4</v>
      </c>
      <c r="C430" s="4" t="inlineStr">
        <is>
          <t>对子</t>
        </is>
      </c>
      <c r="D430" s="4" t="inlineStr">
        <is>
          <t>玩1</t>
        </is>
      </c>
      <c r="E430" s="4" t="inlineStr">
        <is>
          <t>♥8 ♠8</t>
        </is>
      </c>
      <c r="F430" s="4" t="inlineStr">
        <is>
          <t>♥10 ♠10</t>
        </is>
      </c>
      <c r="G430" s="4" t="inlineStr">
        <is>
          <t>♣2 大王</t>
        </is>
      </c>
      <c r="H430" s="4" t="inlineStr">
        <is>
          <t>♣10 ♣J</t>
        </is>
      </c>
      <c r="I430" s="4" t="inlineStr">
        <is>
          <t>玩3</t>
        </is>
      </c>
      <c r="J430" s="4" t="n">
        <v>30</v>
      </c>
      <c r="K430" s="4" t="inlineStr">
        <is>
          <t>庄家方</t>
        </is>
      </c>
    </row>
    <row r="431">
      <c r="A431" s="4" t="n">
        <v>47</v>
      </c>
      <c r="B431" s="4" t="n">
        <v>5</v>
      </c>
      <c r="C431" s="4" t="inlineStr">
        <is>
          <t>单张</t>
        </is>
      </c>
      <c r="D431" s="4" t="inlineStr">
        <is>
          <t>玩3</t>
        </is>
      </c>
      <c r="E431" s="4" t="inlineStr">
        <is>
          <t>♣K</t>
        </is>
      </c>
      <c r="F431" s="4" t="inlineStr">
        <is>
          <t>♣A</t>
        </is>
      </c>
      <c r="G431" s="4" t="inlineStr">
        <is>
          <t>♣4</t>
        </is>
      </c>
      <c r="H431" s="4" t="inlineStr">
        <is>
          <t>♣Q</t>
        </is>
      </c>
      <c r="I431" s="4" t="inlineStr">
        <is>
          <t>玩2</t>
        </is>
      </c>
      <c r="J431" s="4" t="n">
        <v>10</v>
      </c>
      <c r="K431" s="4" t="inlineStr">
        <is>
          <t>抓分方</t>
        </is>
      </c>
    </row>
    <row r="432">
      <c r="A432" s="4" t="n">
        <v>47</v>
      </c>
      <c r="B432" s="4" t="n">
        <v>6</v>
      </c>
      <c r="C432" s="4" t="inlineStr">
        <is>
          <t>单张</t>
        </is>
      </c>
      <c r="D432" s="4" t="inlineStr">
        <is>
          <t>玩2</t>
        </is>
      </c>
      <c r="E432" s="4" t="inlineStr">
        <is>
          <t>♠5</t>
        </is>
      </c>
      <c r="F432" s="4" t="inlineStr">
        <is>
          <t>♠Q</t>
        </is>
      </c>
      <c r="G432" s="4" t="inlineStr">
        <is>
          <t>♦8</t>
        </is>
      </c>
      <c r="H432" s="4" t="inlineStr">
        <is>
          <t>♠2</t>
        </is>
      </c>
      <c r="I432" s="4" t="inlineStr">
        <is>
          <t>玩4</t>
        </is>
      </c>
      <c r="J432" s="4" t="n">
        <v>5</v>
      </c>
      <c r="K432" s="4" t="inlineStr">
        <is>
          <t>抓分方</t>
        </is>
      </c>
    </row>
    <row r="433">
      <c r="A433" s="4" t="n">
        <v>47</v>
      </c>
      <c r="B433" s="4" t="n">
        <v>7</v>
      </c>
      <c r="C433" s="4" t="inlineStr">
        <is>
          <t>单张</t>
        </is>
      </c>
      <c r="D433" s="4" t="inlineStr">
        <is>
          <t>玩4</t>
        </is>
      </c>
      <c r="E433" s="4" t="inlineStr">
        <is>
          <t>♥5</t>
        </is>
      </c>
      <c r="F433" s="4" t="inlineStr">
        <is>
          <t>♠K</t>
        </is>
      </c>
      <c r="G433" s="4" t="inlineStr">
        <is>
          <t>♥A</t>
        </is>
      </c>
      <c r="H433" s="4" t="inlineStr">
        <is>
          <t>♥Q</t>
        </is>
      </c>
      <c r="I433" s="4" t="inlineStr">
        <is>
          <t>玩3</t>
        </is>
      </c>
      <c r="J433" s="4" t="n">
        <v>15</v>
      </c>
      <c r="K433" s="4" t="inlineStr">
        <is>
          <t>庄家方</t>
        </is>
      </c>
    </row>
    <row r="434">
      <c r="A434" s="4" t="n">
        <v>47</v>
      </c>
      <c r="B434" s="4" t="n">
        <v>8</v>
      </c>
      <c r="C434" s="4" t="inlineStr">
        <is>
          <t>单张</t>
        </is>
      </c>
      <c r="D434" s="4" t="inlineStr">
        <is>
          <t>玩3</t>
        </is>
      </c>
      <c r="E434" s="4" t="inlineStr">
        <is>
          <t>♦A</t>
        </is>
      </c>
      <c r="F434" s="4" t="inlineStr">
        <is>
          <t>♠A</t>
        </is>
      </c>
      <c r="G434" s="4" t="inlineStr">
        <is>
          <t>♦K</t>
        </is>
      </c>
      <c r="H434" s="4" t="inlineStr">
        <is>
          <t>小王</t>
        </is>
      </c>
      <c r="I434" s="4" t="inlineStr">
        <is>
          <t>玩4</t>
        </is>
      </c>
      <c r="J434" s="4" t="n">
        <v>10</v>
      </c>
      <c r="K434" s="4" t="inlineStr">
        <is>
          <t>抓分方</t>
        </is>
      </c>
    </row>
    <row r="435">
      <c r="A435" s="4" t="n">
        <v>47</v>
      </c>
      <c r="B435" s="4" t="n">
        <v>9</v>
      </c>
      <c r="C435" s="4" t="inlineStr">
        <is>
          <t>单张</t>
        </is>
      </c>
      <c r="D435" s="4" t="inlineStr">
        <is>
          <t>玩4</t>
        </is>
      </c>
      <c r="E435" s="4" t="inlineStr">
        <is>
          <t>♥K</t>
        </is>
      </c>
      <c r="F435" s="4" t="inlineStr">
        <is>
          <t>无</t>
        </is>
      </c>
      <c r="G435" s="4" t="inlineStr">
        <is>
          <t>无</t>
        </is>
      </c>
      <c r="H435" s="4" t="inlineStr">
        <is>
          <t>无</t>
        </is>
      </c>
      <c r="I435" s="4" t="inlineStr">
        <is>
          <t>玩1</t>
        </is>
      </c>
      <c r="J435" s="4" t="n">
        <v>10</v>
      </c>
      <c r="K435" s="4" t="inlineStr">
        <is>
          <t>庄家方</t>
        </is>
      </c>
    </row>
    <row r="436">
      <c r="A436" s="4" t="n">
        <v>48</v>
      </c>
      <c r="B436" s="4" t="n">
        <v>1</v>
      </c>
      <c r="C436" s="4" t="inlineStr">
        <is>
          <t>对子</t>
        </is>
      </c>
      <c r="D436" s="4" t="inlineStr">
        <is>
          <t>玩4</t>
        </is>
      </c>
      <c r="E436" s="4" t="inlineStr">
        <is>
          <t>♥3 ♥7</t>
        </is>
      </c>
      <c r="F436" s="4" t="inlineStr">
        <is>
          <t>♥5 ♥A</t>
        </is>
      </c>
      <c r="G436" s="4" t="inlineStr">
        <is>
          <t>♥4 ♥10</t>
        </is>
      </c>
      <c r="H436" s="4" t="inlineStr">
        <is>
          <t>♥8 ♣8</t>
        </is>
      </c>
      <c r="I436" s="4" t="inlineStr">
        <is>
          <t>玩1</t>
        </is>
      </c>
      <c r="J436" s="4" t="n">
        <v>15</v>
      </c>
      <c r="K436" s="4" t="inlineStr">
        <is>
          <t>抓分方</t>
        </is>
      </c>
    </row>
    <row r="437">
      <c r="A437" s="4" t="n">
        <v>48</v>
      </c>
      <c r="B437" s="4" t="n">
        <v>2</v>
      </c>
      <c r="C437" s="4" t="inlineStr">
        <is>
          <t>对子</t>
        </is>
      </c>
      <c r="D437" s="4" t="inlineStr">
        <is>
          <t>玩1</t>
        </is>
      </c>
      <c r="E437" s="4" t="inlineStr">
        <is>
          <t>♠7 ♣7</t>
        </is>
      </c>
      <c r="F437" s="4" t="inlineStr">
        <is>
          <t>♠5 ♠8</t>
        </is>
      </c>
      <c r="G437" s="4" t="inlineStr">
        <is>
          <t>♠4 ♠9</t>
        </is>
      </c>
      <c r="H437" s="4" t="inlineStr">
        <is>
          <t>♥2</t>
        </is>
      </c>
      <c r="I437" s="4" t="inlineStr">
        <is>
          <t>玩4</t>
        </is>
      </c>
      <c r="J437" s="4" t="n">
        <v>5</v>
      </c>
      <c r="K437" s="4" t="inlineStr">
        <is>
          <t>庄家方</t>
        </is>
      </c>
    </row>
    <row r="438">
      <c r="A438" s="4" t="n">
        <v>48</v>
      </c>
      <c r="B438" s="4" t="n">
        <v>3</v>
      </c>
      <c r="C438" s="4" t="inlineStr">
        <is>
          <t>对子</t>
        </is>
      </c>
      <c r="D438" s="4" t="inlineStr">
        <is>
          <t>玩4</t>
        </is>
      </c>
      <c r="E438" s="4" t="inlineStr">
        <is>
          <t>♣5 ♣9</t>
        </is>
      </c>
      <c r="F438" s="4" t="inlineStr">
        <is>
          <t>♦2 ♦4</t>
        </is>
      </c>
      <c r="G438" s="4" t="inlineStr">
        <is>
          <t>♦3 ♦6</t>
        </is>
      </c>
      <c r="H438" s="4" t="inlineStr">
        <is>
          <t>♦J ♠J</t>
        </is>
      </c>
      <c r="I438" s="4" t="inlineStr">
        <is>
          <t>玩2</t>
        </is>
      </c>
      <c r="J438" s="4" t="n">
        <v>5</v>
      </c>
      <c r="K438" s="4" t="inlineStr">
        <is>
          <t>庄家方</t>
        </is>
      </c>
    </row>
    <row r="439">
      <c r="A439" s="4" t="n">
        <v>48</v>
      </c>
      <c r="B439" s="4" t="n">
        <v>4</v>
      </c>
      <c r="C439" s="4" t="inlineStr">
        <is>
          <t>对子</t>
        </is>
      </c>
      <c r="D439" s="4" t="inlineStr">
        <is>
          <t>玩2</t>
        </is>
      </c>
      <c r="E439" s="4" t="inlineStr">
        <is>
          <t>小王</t>
        </is>
      </c>
      <c r="F439" s="4" t="inlineStr">
        <is>
          <t>♣A ♠A</t>
        </is>
      </c>
      <c r="G439" s="4" t="inlineStr">
        <is>
          <t>♣4 ♣Q</t>
        </is>
      </c>
      <c r="H439" s="4" t="inlineStr">
        <is>
          <t>♣6 ♣10</t>
        </is>
      </c>
      <c r="I439" s="4" t="inlineStr">
        <is>
          <t>玩1</t>
        </is>
      </c>
      <c r="J439" s="4" t="n">
        <v>10</v>
      </c>
      <c r="K439" s="4" t="inlineStr">
        <is>
          <t>抓分方</t>
        </is>
      </c>
    </row>
    <row r="440">
      <c r="A440" s="4" t="n">
        <v>48</v>
      </c>
      <c r="B440" s="4" t="n">
        <v>5</v>
      </c>
      <c r="C440" s="4" t="inlineStr">
        <is>
          <t>单张</t>
        </is>
      </c>
      <c r="D440" s="4" t="inlineStr">
        <is>
          <t>玩1</t>
        </is>
      </c>
      <c r="E440" s="4" t="inlineStr">
        <is>
          <t>♥J</t>
        </is>
      </c>
      <c r="F440" s="4" t="inlineStr">
        <is>
          <t>♦9</t>
        </is>
      </c>
      <c r="G440" s="4" t="inlineStr">
        <is>
          <t>♦8</t>
        </is>
      </c>
      <c r="H440" s="4" t="inlineStr">
        <is>
          <t>♥9</t>
        </is>
      </c>
      <c r="I440" s="4" t="inlineStr">
        <is>
          <t>玩1</t>
        </is>
      </c>
      <c r="J440" s="4" t="n">
        <v>0</v>
      </c>
      <c r="K440" s="4" t="inlineStr">
        <is>
          <t>抓分方</t>
        </is>
      </c>
    </row>
    <row r="441">
      <c r="A441" s="4" t="n">
        <v>48</v>
      </c>
      <c r="B441" s="4" t="n">
        <v>6</v>
      </c>
      <c r="C441" s="4" t="inlineStr">
        <is>
          <t>单张</t>
        </is>
      </c>
      <c r="D441" s="4" t="inlineStr">
        <is>
          <t>玩1</t>
        </is>
      </c>
      <c r="E441" s="4" t="inlineStr">
        <is>
          <t>♥Q</t>
        </is>
      </c>
      <c r="F441" s="4" t="inlineStr">
        <is>
          <t>♣J</t>
        </is>
      </c>
      <c r="G441" s="4" t="inlineStr">
        <is>
          <t>♦10</t>
        </is>
      </c>
      <c r="H441" s="4" t="inlineStr">
        <is>
          <t>♦7</t>
        </is>
      </c>
      <c r="I441" s="4" t="inlineStr">
        <is>
          <t>玩1</t>
        </is>
      </c>
      <c r="J441" s="4" t="n">
        <v>10</v>
      </c>
      <c r="K441" s="4" t="inlineStr">
        <is>
          <t>抓分方</t>
        </is>
      </c>
    </row>
    <row r="442">
      <c r="A442" s="4" t="n">
        <v>48</v>
      </c>
      <c r="B442" s="4" t="n">
        <v>7</v>
      </c>
      <c r="C442" s="4" t="inlineStr">
        <is>
          <t>单张</t>
        </is>
      </c>
      <c r="D442" s="4" t="inlineStr">
        <is>
          <t>玩1</t>
        </is>
      </c>
      <c r="E442" s="4" t="inlineStr">
        <is>
          <t>♠10</t>
        </is>
      </c>
      <c r="F442" s="4" t="inlineStr">
        <is>
          <t>♣2</t>
        </is>
      </c>
      <c r="G442" s="4" t="inlineStr">
        <is>
          <t>♠Q</t>
        </is>
      </c>
      <c r="H442" s="4" t="inlineStr">
        <is>
          <t>♦Q</t>
        </is>
      </c>
      <c r="I442" s="4" t="inlineStr">
        <is>
          <t>玩2</t>
        </is>
      </c>
      <c r="J442" s="4" t="n">
        <v>10</v>
      </c>
      <c r="K442" s="4" t="inlineStr">
        <is>
          <t>庄家方</t>
        </is>
      </c>
    </row>
    <row r="443">
      <c r="A443" s="4" t="n">
        <v>48</v>
      </c>
      <c r="B443" s="4" t="n">
        <v>8</v>
      </c>
      <c r="C443" s="4" t="inlineStr">
        <is>
          <t>单张</t>
        </is>
      </c>
      <c r="D443" s="4" t="inlineStr">
        <is>
          <t>玩2</t>
        </is>
      </c>
      <c r="E443" s="4" t="inlineStr">
        <is>
          <t>♥K</t>
        </is>
      </c>
      <c r="F443" s="4" t="inlineStr">
        <is>
          <t>♣K</t>
        </is>
      </c>
      <c r="G443" s="4" t="inlineStr">
        <is>
          <t>大王</t>
        </is>
      </c>
      <c r="H443" s="4" t="inlineStr">
        <is>
          <t>♦K</t>
        </is>
      </c>
      <c r="I443" s="4" t="inlineStr">
        <is>
          <t>玩3</t>
        </is>
      </c>
      <c r="J443" s="4" t="n">
        <v>30</v>
      </c>
      <c r="K443" s="4" t="inlineStr">
        <is>
          <t>抓分方</t>
        </is>
      </c>
    </row>
    <row r="444">
      <c r="A444" s="4" t="n">
        <v>48</v>
      </c>
      <c r="B444" s="4" t="n">
        <v>9</v>
      </c>
      <c r="C444" s="4" t="inlineStr">
        <is>
          <t>单张</t>
        </is>
      </c>
      <c r="D444" s="4" t="inlineStr">
        <is>
          <t>玩3</t>
        </is>
      </c>
      <c r="E444" s="4" t="inlineStr">
        <is>
          <t>♠K</t>
        </is>
      </c>
      <c r="F444" s="4" t="inlineStr">
        <is>
          <t>无</t>
        </is>
      </c>
      <c r="G444" s="4" t="inlineStr">
        <is>
          <t>无</t>
        </is>
      </c>
      <c r="H444" s="4" t="inlineStr">
        <is>
          <t>♦A</t>
        </is>
      </c>
      <c r="I444" s="4" t="inlineStr">
        <is>
          <t>玩1</t>
        </is>
      </c>
      <c r="J444" s="4" t="n">
        <v>10</v>
      </c>
      <c r="K444" s="4" t="inlineStr">
        <is>
          <t>抓分方</t>
        </is>
      </c>
    </row>
    <row r="445">
      <c r="A445" s="4" t="n">
        <v>49</v>
      </c>
      <c r="B445" s="4" t="n">
        <v>1</v>
      </c>
      <c r="C445" s="4" t="inlineStr">
        <is>
          <t>单张</t>
        </is>
      </c>
      <c r="D445" s="4" t="inlineStr">
        <is>
          <t>玩1</t>
        </is>
      </c>
      <c r="E445" s="4" t="inlineStr">
        <is>
          <t>♥8</t>
        </is>
      </c>
      <c r="F445" s="4" t="inlineStr">
        <is>
          <t>♥3</t>
        </is>
      </c>
      <c r="G445" s="4" t="inlineStr">
        <is>
          <t>♥4</t>
        </is>
      </c>
      <c r="H445" s="4" t="inlineStr">
        <is>
          <t>♥2</t>
        </is>
      </c>
      <c r="I445" s="4" t="inlineStr">
        <is>
          <t>玩2</t>
        </is>
      </c>
      <c r="J445" s="4" t="n">
        <v>0</v>
      </c>
      <c r="K445" s="4" t="inlineStr">
        <is>
          <t>抓分方</t>
        </is>
      </c>
    </row>
    <row r="446">
      <c r="A446" s="4" t="n">
        <v>49</v>
      </c>
      <c r="B446" s="4" t="n">
        <v>2</v>
      </c>
      <c r="C446" s="4" t="inlineStr">
        <is>
          <t>对子</t>
        </is>
      </c>
      <c r="D446" s="4" t="inlineStr">
        <is>
          <t>玩2</t>
        </is>
      </c>
      <c r="E446" s="4" t="inlineStr">
        <is>
          <t>♦5 ♥9</t>
        </is>
      </c>
      <c r="F446" s="4" t="inlineStr">
        <is>
          <t>♥A ♣A</t>
        </is>
      </c>
      <c r="G446" s="4" t="inlineStr">
        <is>
          <t>♦3 ♦4</t>
        </is>
      </c>
      <c r="H446" s="4" t="inlineStr">
        <is>
          <t>♥7 ♥J</t>
        </is>
      </c>
      <c r="I446" s="4" t="inlineStr">
        <is>
          <t>玩2</t>
        </is>
      </c>
      <c r="J446" s="4" t="n">
        <v>5</v>
      </c>
      <c r="K446" s="4" t="inlineStr">
        <is>
          <t>抓分方</t>
        </is>
      </c>
    </row>
    <row r="447">
      <c r="A447" s="4" t="n">
        <v>49</v>
      </c>
      <c r="B447" s="4" t="n">
        <v>3</v>
      </c>
      <c r="C447" s="4" t="inlineStr">
        <is>
          <t>单张</t>
        </is>
      </c>
      <c r="D447" s="4" t="inlineStr">
        <is>
          <t>玩2</t>
        </is>
      </c>
      <c r="E447" s="4" t="inlineStr">
        <is>
          <t>♣10</t>
        </is>
      </c>
      <c r="F447" s="4" t="inlineStr">
        <is>
          <t>♣3</t>
        </is>
      </c>
      <c r="G447" s="4" t="inlineStr">
        <is>
          <t>♣2</t>
        </is>
      </c>
      <c r="H447" s="4" t="inlineStr">
        <is>
          <t>♠3</t>
        </is>
      </c>
      <c r="I447" s="4" t="inlineStr">
        <is>
          <t>玩3</t>
        </is>
      </c>
      <c r="J447" s="4" t="n">
        <v>10</v>
      </c>
      <c r="K447" s="4" t="inlineStr">
        <is>
          <t>庄家方</t>
        </is>
      </c>
    </row>
    <row r="448">
      <c r="A448" s="4" t="n">
        <v>49</v>
      </c>
      <c r="B448" s="4" t="n">
        <v>4</v>
      </c>
      <c r="C448" s="4" t="inlineStr">
        <is>
          <t>对子</t>
        </is>
      </c>
      <c r="D448" s="4" t="inlineStr">
        <is>
          <t>玩3</t>
        </is>
      </c>
      <c r="E448" s="4" t="inlineStr">
        <is>
          <t>大王</t>
        </is>
      </c>
      <c r="F448" s="4" t="inlineStr">
        <is>
          <t>♣4 ♣7</t>
        </is>
      </c>
      <c r="G448" s="4" t="inlineStr">
        <is>
          <t>♣Q ♦Q</t>
        </is>
      </c>
      <c r="H448" s="4" t="inlineStr">
        <is>
          <t>♠4 ♠5</t>
        </is>
      </c>
      <c r="I448" s="4" t="inlineStr">
        <is>
          <t>玩1</t>
        </is>
      </c>
      <c r="J448" s="4" t="n">
        <v>5</v>
      </c>
      <c r="K448" s="4" t="inlineStr">
        <is>
          <t>庄家方</t>
        </is>
      </c>
    </row>
    <row r="449">
      <c r="A449" s="4" t="n">
        <v>49</v>
      </c>
      <c r="B449" s="4" t="n">
        <v>5</v>
      </c>
      <c r="C449" s="4" t="inlineStr">
        <is>
          <t>单张</t>
        </is>
      </c>
      <c r="D449" s="4" t="inlineStr">
        <is>
          <t>玩1</t>
        </is>
      </c>
      <c r="E449" s="4" t="inlineStr">
        <is>
          <t>♦J</t>
        </is>
      </c>
      <c r="F449" s="4" t="inlineStr">
        <is>
          <t>♦8</t>
        </is>
      </c>
      <c r="G449" s="4" t="inlineStr">
        <is>
          <t>♦2</t>
        </is>
      </c>
      <c r="H449" s="4" t="inlineStr">
        <is>
          <t>♦7</t>
        </is>
      </c>
      <c r="I449" s="4" t="inlineStr">
        <is>
          <t>玩3</t>
        </is>
      </c>
      <c r="J449" s="4" t="n">
        <v>0</v>
      </c>
      <c r="K449" s="4" t="inlineStr">
        <is>
          <t>庄家方</t>
        </is>
      </c>
    </row>
    <row r="450">
      <c r="A450" s="4" t="n">
        <v>49</v>
      </c>
      <c r="B450" s="4" t="n">
        <v>6</v>
      </c>
      <c r="C450" s="4" t="inlineStr">
        <is>
          <t>单张</t>
        </is>
      </c>
      <c r="D450" s="4" t="inlineStr">
        <is>
          <t>玩3</t>
        </is>
      </c>
      <c r="E450" s="4" t="inlineStr">
        <is>
          <t>♦10</t>
        </is>
      </c>
      <c r="F450" s="4" t="inlineStr">
        <is>
          <t>♠2</t>
        </is>
      </c>
      <c r="G450" s="4" t="inlineStr">
        <is>
          <t>♦6</t>
        </is>
      </c>
      <c r="H450" s="4" t="inlineStr">
        <is>
          <t>♠7</t>
        </is>
      </c>
      <c r="I450" s="4" t="inlineStr">
        <is>
          <t>玩2</t>
        </is>
      </c>
      <c r="J450" s="4" t="n">
        <v>10</v>
      </c>
      <c r="K450" s="4" t="inlineStr">
        <is>
          <t>抓分方</t>
        </is>
      </c>
    </row>
    <row r="451">
      <c r="A451" s="4" t="n">
        <v>49</v>
      </c>
      <c r="B451" s="4" t="n">
        <v>7</v>
      </c>
      <c r="C451" s="4" t="inlineStr">
        <is>
          <t>单张</t>
        </is>
      </c>
      <c r="D451" s="4" t="inlineStr">
        <is>
          <t>玩2</t>
        </is>
      </c>
      <c r="E451" s="4" t="inlineStr">
        <is>
          <t>♠10</t>
        </is>
      </c>
      <c r="F451" s="4" t="inlineStr">
        <is>
          <t>♥6</t>
        </is>
      </c>
      <c r="G451" s="4" t="inlineStr">
        <is>
          <t>♥5</t>
        </is>
      </c>
      <c r="H451" s="4" t="inlineStr">
        <is>
          <t>♥K</t>
        </is>
      </c>
      <c r="I451" s="4" t="inlineStr">
        <is>
          <t>玩4</t>
        </is>
      </c>
      <c r="J451" s="4" t="n">
        <v>25</v>
      </c>
      <c r="K451" s="4" t="inlineStr">
        <is>
          <t>抓分方</t>
        </is>
      </c>
    </row>
    <row r="452">
      <c r="A452" s="4" t="n">
        <v>49</v>
      </c>
      <c r="B452" s="4" t="n">
        <v>8</v>
      </c>
      <c r="C452" s="4" t="inlineStr">
        <is>
          <t>单张</t>
        </is>
      </c>
      <c r="D452" s="4" t="inlineStr">
        <is>
          <t>玩4</t>
        </is>
      </c>
      <c r="E452" s="4" t="inlineStr">
        <is>
          <t>♠Q</t>
        </is>
      </c>
      <c r="F452" s="4" t="inlineStr">
        <is>
          <t>♠K</t>
        </is>
      </c>
      <c r="G452" s="4" t="inlineStr">
        <is>
          <t>♠8</t>
        </is>
      </c>
      <c r="H452" s="4" t="inlineStr">
        <is>
          <t>♠9</t>
        </is>
      </c>
      <c r="I452" s="4" t="inlineStr">
        <is>
          <t>玩2</t>
        </is>
      </c>
      <c r="J452" s="4" t="n">
        <v>10</v>
      </c>
      <c r="K452" s="4" t="inlineStr">
        <is>
          <t>抓分方</t>
        </is>
      </c>
    </row>
    <row r="453">
      <c r="A453" s="4" t="n">
        <v>49</v>
      </c>
      <c r="B453" s="4" t="n">
        <v>9</v>
      </c>
      <c r="C453" s="4" t="inlineStr">
        <is>
          <t>单张</t>
        </is>
      </c>
      <c r="D453" s="4" t="inlineStr">
        <is>
          <t>玩2</t>
        </is>
      </c>
      <c r="E453" s="4" t="inlineStr">
        <is>
          <t>♣K</t>
        </is>
      </c>
      <c r="F453" s="4" t="inlineStr">
        <is>
          <t>♥Q</t>
        </is>
      </c>
      <c r="G453" s="4" t="inlineStr">
        <is>
          <t>♦9</t>
        </is>
      </c>
      <c r="H453" s="4" t="inlineStr">
        <is>
          <t>♠J</t>
        </is>
      </c>
      <c r="I453" s="4" t="inlineStr">
        <is>
          <t>玩2</t>
        </is>
      </c>
      <c r="J453" s="4" t="n">
        <v>10</v>
      </c>
      <c r="K453" s="4" t="inlineStr">
        <is>
          <t>抓分方</t>
        </is>
      </c>
    </row>
    <row r="454">
      <c r="A454" s="4" t="n">
        <v>49</v>
      </c>
      <c r="B454" s="4" t="n">
        <v>10</v>
      </c>
      <c r="C454" s="4" t="inlineStr">
        <is>
          <t>单张</t>
        </is>
      </c>
      <c r="D454" s="4" t="inlineStr">
        <is>
          <t>玩2</t>
        </is>
      </c>
      <c r="E454" s="4" t="inlineStr">
        <is>
          <t>♦K</t>
        </is>
      </c>
      <c r="F454" s="4" t="inlineStr">
        <is>
          <t>♥10</t>
        </is>
      </c>
      <c r="G454" s="4" t="inlineStr">
        <is>
          <t>♦A</t>
        </is>
      </c>
      <c r="H454" s="4" t="inlineStr">
        <is>
          <t>小王</t>
        </is>
      </c>
      <c r="I454" s="4" t="inlineStr">
        <is>
          <t>玩4</t>
        </is>
      </c>
      <c r="J454" s="4" t="n">
        <v>20</v>
      </c>
      <c r="K454" s="4" t="inlineStr">
        <is>
          <t>抓分方</t>
        </is>
      </c>
    </row>
    <row r="455">
      <c r="A455" s="4" t="n">
        <v>49</v>
      </c>
      <c r="B455" s="4" t="n">
        <v>11</v>
      </c>
      <c r="C455" s="4" t="inlineStr">
        <is>
          <t>单张</t>
        </is>
      </c>
      <c r="D455" s="4" t="inlineStr">
        <is>
          <t>玩4</t>
        </is>
      </c>
      <c r="E455" s="4" t="inlineStr">
        <is>
          <t>♠A</t>
        </is>
      </c>
      <c r="F455" s="4" t="inlineStr">
        <is>
          <t>无</t>
        </is>
      </c>
      <c r="G455" s="4" t="inlineStr">
        <is>
          <t>无</t>
        </is>
      </c>
      <c r="H455" s="4" t="inlineStr">
        <is>
          <t>无</t>
        </is>
      </c>
      <c r="I455" s="4" t="inlineStr">
        <is>
          <t>玩1</t>
        </is>
      </c>
      <c r="J455" s="4" t="n">
        <v>0</v>
      </c>
      <c r="K455" s="4" t="inlineStr">
        <is>
          <t>庄家方</t>
        </is>
      </c>
    </row>
    <row r="456">
      <c r="A456" s="4" t="n">
        <v>50</v>
      </c>
      <c r="B456" s="4" t="n">
        <v>1</v>
      </c>
      <c r="C456" s="4" t="inlineStr">
        <is>
          <t>对子</t>
        </is>
      </c>
      <c r="D456" s="4" t="inlineStr">
        <is>
          <t>玩2</t>
        </is>
      </c>
      <c r="E456" s="4" t="inlineStr">
        <is>
          <t>♥2 ♥5</t>
        </is>
      </c>
      <c r="F456" s="4" t="inlineStr">
        <is>
          <t>♥J ♠J</t>
        </is>
      </c>
      <c r="G456" s="4" t="inlineStr">
        <is>
          <t>♣3 ♣4</t>
        </is>
      </c>
      <c r="H456" s="4" t="inlineStr">
        <is>
          <t>♥7 ♥Q</t>
        </is>
      </c>
      <c r="I456" s="4" t="inlineStr">
        <is>
          <t>玩1</t>
        </is>
      </c>
      <c r="J456" s="4" t="n">
        <v>5</v>
      </c>
      <c r="K456" s="4" t="inlineStr">
        <is>
          <t>抓分方</t>
        </is>
      </c>
    </row>
    <row r="457">
      <c r="A457" s="4" t="n">
        <v>50</v>
      </c>
      <c r="B457" s="4" t="n">
        <v>2</v>
      </c>
      <c r="C457" s="4" t="inlineStr">
        <is>
          <t>对子</t>
        </is>
      </c>
      <c r="D457" s="4" t="inlineStr">
        <is>
          <t>玩1</t>
        </is>
      </c>
      <c r="E457" s="4" t="inlineStr">
        <is>
          <t>♥6 ♣6</t>
        </is>
      </c>
      <c r="F457" s="4" t="inlineStr">
        <is>
          <t>♣5 ♠5</t>
        </is>
      </c>
      <c r="G457" s="4" t="inlineStr">
        <is>
          <t>♠2 ♦2</t>
        </is>
      </c>
      <c r="H457" s="4" t="inlineStr">
        <is>
          <t>♦4 ♠4</t>
        </is>
      </c>
      <c r="I457" s="4" t="inlineStr">
        <is>
          <t>玩3</t>
        </is>
      </c>
      <c r="J457" s="4" t="n">
        <v>10</v>
      </c>
      <c r="K457" s="4" t="inlineStr">
        <is>
          <t>抓分方</t>
        </is>
      </c>
    </row>
    <row r="458">
      <c r="A458" s="4" t="n">
        <v>50</v>
      </c>
      <c r="B458" s="4" t="n">
        <v>3</v>
      </c>
      <c r="C458" s="4" t="inlineStr">
        <is>
          <t>对子</t>
        </is>
      </c>
      <c r="D458" s="4" t="inlineStr">
        <is>
          <t>玩3</t>
        </is>
      </c>
      <c r="E458" s="4" t="inlineStr">
        <is>
          <t>♣2 小王</t>
        </is>
      </c>
      <c r="F458" s="4" t="inlineStr">
        <is>
          <t>大王</t>
        </is>
      </c>
      <c r="G458" s="4" t="inlineStr">
        <is>
          <t>♥A ♣A</t>
        </is>
      </c>
      <c r="H458" s="4" t="inlineStr">
        <is>
          <t>♦5 ♠6</t>
        </is>
      </c>
      <c r="I458" s="4" t="inlineStr">
        <is>
          <t>玩2</t>
        </is>
      </c>
      <c r="J458" s="4" t="n">
        <v>5</v>
      </c>
      <c r="K458" s="4" t="inlineStr">
        <is>
          <t>庄家方</t>
        </is>
      </c>
    </row>
    <row r="459">
      <c r="A459" s="4" t="n">
        <v>50</v>
      </c>
      <c r="B459" s="4" t="n">
        <v>4</v>
      </c>
      <c r="C459" s="4" t="inlineStr">
        <is>
          <t>单张</t>
        </is>
      </c>
      <c r="D459" s="4" t="inlineStr">
        <is>
          <t>玩2</t>
        </is>
      </c>
      <c r="E459" s="4" t="inlineStr">
        <is>
          <t>♦7</t>
        </is>
      </c>
      <c r="F459" s="4" t="inlineStr">
        <is>
          <t>♦6</t>
        </is>
      </c>
      <c r="G459" s="4" t="inlineStr">
        <is>
          <t>♦Q</t>
        </is>
      </c>
      <c r="H459" s="4" t="inlineStr">
        <is>
          <t>♦10</t>
        </is>
      </c>
      <c r="I459" s="4" t="inlineStr">
        <is>
          <t>玩3</t>
        </is>
      </c>
      <c r="J459" s="4" t="n">
        <v>10</v>
      </c>
      <c r="K459" s="4" t="inlineStr">
        <is>
          <t>抓分方</t>
        </is>
      </c>
    </row>
    <row r="460">
      <c r="A460" s="4" t="n">
        <v>50</v>
      </c>
      <c r="B460" s="4" t="n">
        <v>5</v>
      </c>
      <c r="C460" s="4" t="inlineStr">
        <is>
          <t>单张</t>
        </is>
      </c>
      <c r="D460" s="4" t="inlineStr">
        <is>
          <t>玩3</t>
        </is>
      </c>
      <c r="E460" s="4" t="inlineStr">
        <is>
          <t>♠3</t>
        </is>
      </c>
      <c r="F460" s="4" t="inlineStr">
        <is>
          <t>♣Q</t>
        </is>
      </c>
      <c r="G460" s="4" t="inlineStr">
        <is>
          <t>♣8</t>
        </is>
      </c>
      <c r="H460" s="4" t="inlineStr">
        <is>
          <t>♣7</t>
        </is>
      </c>
      <c r="I460" s="4" t="inlineStr">
        <is>
          <t>玩2</t>
        </is>
      </c>
      <c r="J460" s="4" t="n">
        <v>0</v>
      </c>
      <c r="K460" s="4" t="inlineStr">
        <is>
          <t>庄家方</t>
        </is>
      </c>
    </row>
    <row r="461">
      <c r="A461" s="4" t="n">
        <v>50</v>
      </c>
      <c r="B461" s="4" t="n">
        <v>6</v>
      </c>
      <c r="C461" s="4" t="inlineStr">
        <is>
          <t>单张</t>
        </is>
      </c>
      <c r="D461" s="4" t="inlineStr">
        <is>
          <t>玩2</t>
        </is>
      </c>
      <c r="E461" s="4" t="inlineStr">
        <is>
          <t>♥10</t>
        </is>
      </c>
      <c r="F461" s="4" t="inlineStr">
        <is>
          <t>♥9</t>
        </is>
      </c>
      <c r="G461" s="4" t="inlineStr">
        <is>
          <t>♣9</t>
        </is>
      </c>
      <c r="H461" s="4" t="inlineStr">
        <is>
          <t>♥K</t>
        </is>
      </c>
      <c r="I461" s="4" t="inlineStr">
        <is>
          <t>玩4</t>
        </is>
      </c>
      <c r="J461" s="4" t="n">
        <v>20</v>
      </c>
      <c r="K461" s="4" t="inlineStr">
        <is>
          <t>庄家方</t>
        </is>
      </c>
    </row>
    <row r="462">
      <c r="A462" s="4" t="n">
        <v>50</v>
      </c>
      <c r="B462" s="4" t="n">
        <v>7</v>
      </c>
      <c r="C462" s="4" t="inlineStr">
        <is>
          <t>单张</t>
        </is>
      </c>
      <c r="D462" s="4" t="inlineStr">
        <is>
          <t>玩4</t>
        </is>
      </c>
      <c r="E462" s="4" t="inlineStr">
        <is>
          <t>♠7</t>
        </is>
      </c>
      <c r="F462" s="4" t="inlineStr">
        <is>
          <t>♣10</t>
        </is>
      </c>
      <c r="G462" s="4" t="inlineStr">
        <is>
          <t>♠Q</t>
        </is>
      </c>
      <c r="H462" s="4" t="inlineStr">
        <is>
          <t>♠8</t>
        </is>
      </c>
      <c r="I462" s="4" t="inlineStr">
        <is>
          <t>玩3</t>
        </is>
      </c>
      <c r="J462" s="4" t="n">
        <v>10</v>
      </c>
      <c r="K462" s="4" t="inlineStr">
        <is>
          <t>抓分方</t>
        </is>
      </c>
    </row>
    <row r="463">
      <c r="A463" s="4" t="n">
        <v>50</v>
      </c>
      <c r="B463" s="4" t="n">
        <v>8</v>
      </c>
      <c r="C463" s="4" t="inlineStr">
        <is>
          <t>单张</t>
        </is>
      </c>
      <c r="D463" s="4" t="inlineStr">
        <is>
          <t>玩3</t>
        </is>
      </c>
      <c r="E463" s="4" t="inlineStr">
        <is>
          <t>♠9</t>
        </is>
      </c>
      <c r="F463" s="4" t="inlineStr">
        <is>
          <t>♣K</t>
        </is>
      </c>
      <c r="G463" s="4" t="inlineStr">
        <is>
          <t>♣J</t>
        </is>
      </c>
      <c r="H463" s="4" t="inlineStr">
        <is>
          <t>♠K</t>
        </is>
      </c>
      <c r="I463" s="4" t="inlineStr">
        <is>
          <t>玩2</t>
        </is>
      </c>
      <c r="J463" s="4" t="n">
        <v>20</v>
      </c>
      <c r="K463" s="4" t="inlineStr">
        <is>
          <t>庄家方</t>
        </is>
      </c>
    </row>
    <row r="464">
      <c r="A464" s="4" t="n">
        <v>50</v>
      </c>
      <c r="B464" s="4" t="n">
        <v>9</v>
      </c>
      <c r="C464" s="4" t="inlineStr">
        <is>
          <t>单张</t>
        </is>
      </c>
      <c r="D464" s="4" t="inlineStr">
        <is>
          <t>玩2</t>
        </is>
      </c>
      <c r="E464" s="4" t="inlineStr">
        <is>
          <t>♠10</t>
        </is>
      </c>
      <c r="F464" s="4" t="inlineStr">
        <is>
          <t>♦J</t>
        </is>
      </c>
      <c r="G464" s="4" t="inlineStr">
        <is>
          <t>♦K</t>
        </is>
      </c>
      <c r="H464" s="4" t="inlineStr">
        <is>
          <t>♠A</t>
        </is>
      </c>
      <c r="I464" s="4" t="inlineStr">
        <is>
          <t>玩3</t>
        </is>
      </c>
      <c r="J464" s="4" t="n">
        <v>20</v>
      </c>
      <c r="K464" s="4" t="inlineStr">
        <is>
          <t>抓分方</t>
        </is>
      </c>
    </row>
    <row r="465">
      <c r="A465" s="4" t="n">
        <v>50</v>
      </c>
      <c r="B465" s="4" t="n">
        <v>10</v>
      </c>
      <c r="C465" s="4" t="inlineStr">
        <is>
          <t>单张</t>
        </is>
      </c>
      <c r="D465" s="4" t="inlineStr">
        <is>
          <t>玩3</t>
        </is>
      </c>
      <c r="E465" s="4" t="inlineStr">
        <is>
          <t>无</t>
        </is>
      </c>
      <c r="F465" s="4" t="inlineStr">
        <is>
          <t>♦A</t>
        </is>
      </c>
      <c r="G465" s="4" t="inlineStr">
        <is>
          <t>无</t>
        </is>
      </c>
      <c r="H465" s="4" t="inlineStr">
        <is>
          <t>无</t>
        </is>
      </c>
      <c r="I465" s="4" t="inlineStr">
        <is>
          <t>玩2</t>
        </is>
      </c>
      <c r="J465" s="4" t="n">
        <v>0</v>
      </c>
      <c r="K465" s="4" t="inlineStr">
        <is>
          <t>庄家方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2026-05-27T08:14:56Z</dcterms:created>
  <dcterms:modified xsi:type="dcterms:W3CDTF">2026-05-27T08:14:57Z</dcterms:modified>
</cp:coreProperties>
</file>